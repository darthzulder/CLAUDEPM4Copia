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osoy\Downloads\"/>
    </mc:Choice>
  </mc:AlternateContent>
  <xr:revisionPtr revIDLastSave="0" documentId="8_{FE4922E2-B4CF-4B04-8E70-5A5F6C5700E3}" xr6:coauthVersionLast="47" xr6:coauthVersionMax="47" xr10:uidLastSave="{00000000-0000-0000-0000-000000000000}"/>
  <bookViews>
    <workbookView xWindow="1815" yWindow="2010" windowWidth="21600" windowHeight="11295" tabRatio="791" xr2:uid="{0471F22F-3753-4038-9996-F77C47D75B77}"/>
  </bookViews>
  <sheets>
    <sheet name="ENTRADAS" sheetId="1" r:id="rId1"/>
    <sheet name="SALIDAS" sheetId="2" r:id="rId2"/>
    <sheet name="busqueda pi" sheetId="19" r:id="rId3"/>
    <sheet name="ABOGADOS" sheetId="18" r:id="rId4"/>
    <sheet name="ADMIN PH" sheetId="16" r:id="rId5"/>
    <sheet name="CONTADORES" sheetId="17" r:id="rId6"/>
    <sheet name="Nuevas Primas CYBER" sheetId="11" r:id="rId7"/>
    <sheet name="TasasINFIDELIDAD EMPLEADOS" sheetId="10" r:id="rId8"/>
    <sheet name="Configuracion INFIDELIDAD EMPLE" sheetId="9" r:id="rId9"/>
    <sheet name="CALCULOS CYBER" sheetId="14" r:id="rId10"/>
    <sheet name="PRIMAS" sheetId="13" r:id="rId11"/>
    <sheet name="Configuracion CYBER" sheetId="12" r:id="rId12"/>
    <sheet name="CALCULOSD&amp;O" sheetId="3" r:id="rId13"/>
    <sheet name="CALCULOS INFIDELIDAD DE EMPLEAD" sheetId="8" r:id="rId14"/>
    <sheet name="Configuraciond&amp;o" sheetId="4" r:id="rId15"/>
    <sheet name="PRIMASd&amp;o" sheetId="6" r:id="rId16"/>
    <sheet name="LISTAd&amp;o" sheetId="5" r:id="rId17"/>
  </sheets>
  <definedNames>
    <definedName name="EVENTO_1" localSheetId="6">#REF!</definedName>
    <definedName name="EVENTO_1" localSheetId="7">#REF!</definedName>
    <definedName name="EVENTO_1">'Configuracion INFIDELIDAD EMPLE'!$D$14:$E$14</definedName>
    <definedName name="EVENTO_2" localSheetId="6">#REF!</definedName>
    <definedName name="EVENTO_2" localSheetId="7">#REF!</definedName>
    <definedName name="EVENTO_2">'Configuracion INFIDELIDAD EMPLE'!$D$15:$E$15</definedName>
    <definedName name="EVENTO_3" localSheetId="6">#REF!</definedName>
    <definedName name="EVENTO_3" localSheetId="7">#REF!</definedName>
    <definedName name="EVENTO_3">'Configuracion INFIDELIDAD EMPLE'!$D$16:$E$16</definedName>
    <definedName name="EVENTO_4" localSheetId="6">#REF!</definedName>
    <definedName name="EVENTO_4" localSheetId="7">#REF!</definedName>
    <definedName name="EVENTO_4">'Configuracion INFIDELIDAD EMPLE'!$D$17</definedName>
    <definedName name="Facturacion" localSheetId="11">#REF!</definedName>
    <definedName name="Facturacion" localSheetId="10">#REF!</definedName>
    <definedName name="Facturacion">#REF!</definedName>
    <definedName name="FCINCO" localSheetId="11">#REF!</definedName>
    <definedName name="FCINCO" localSheetId="10">#REF!</definedName>
    <definedName name="FCINCO">#REF!</definedName>
    <definedName name="FCUATRO" localSheetId="11">#REF!</definedName>
    <definedName name="FCUATRO" localSheetId="10">#REF!</definedName>
    <definedName name="FCUATRO">#REF!</definedName>
    <definedName name="FDOS" localSheetId="11">#REF!</definedName>
    <definedName name="FDOS" localSheetId="10">#REF!</definedName>
    <definedName name="FDOS">#REF!</definedName>
    <definedName name="FOS">#REF!</definedName>
    <definedName name="FSEIS">#REF!</definedName>
    <definedName name="FSIETE">#REF!</definedName>
    <definedName name="FTRES">#REF!</definedName>
    <definedName name="FUNO">#REF!</definedName>
    <definedName name="INGRESO1">'LISTAd&amp;o'!$B$24:$B$31</definedName>
    <definedName name="INGRESO2">'LISTAd&amp;o'!$C$24:$C$35</definedName>
    <definedName name="INGRESO3">'LISTAd&amp;o'!$D$24:$D$36</definedName>
    <definedName name="INGRESO4">'LISTAd&amp;o'!$E$24:$E$36</definedName>
    <definedName name="INGRESO5">'LISTAd&amp;o'!$F$24:$F$36</definedName>
    <definedName name="INGRESO6">'LISTAd&amp;o'!$G$24:$G$36</definedName>
    <definedName name="INGRESO7">'LISTAd&amp;o'!$H$24:$H$32</definedName>
    <definedName name="INGRESO8">'LISTAd&amp;o'!$I$24:$I$32</definedName>
    <definedName name="INGRESO9">'LISTAd&amp;o'!$J$24:$J$32</definedName>
    <definedName name="LIM_1" localSheetId="11">'Configuracion CYBER'!$D$4:$E$4</definedName>
    <definedName name="LIM_1" localSheetId="6">#REF!</definedName>
    <definedName name="LIM_1" localSheetId="7">#REF!</definedName>
    <definedName name="LIM_1">'Configuracion INFIDELIDAD EMPLE'!$D$6</definedName>
    <definedName name="LIM_2" localSheetId="11">'Configuracion CYBER'!$D$5:$F$5</definedName>
    <definedName name="LIM_2" localSheetId="6">#REF!</definedName>
    <definedName name="LIM_2" localSheetId="7">#REF!</definedName>
    <definedName name="LIM_2">'Configuracion INFIDELIDAD EMPLE'!$D$7:$E$7</definedName>
    <definedName name="LIM_3" localSheetId="11">'Configuracion CYBER'!$D$6:$G$6</definedName>
    <definedName name="LIM_3" localSheetId="6">#REF!</definedName>
    <definedName name="LIM_3" localSheetId="7">#REF!</definedName>
    <definedName name="LIM_3">'Configuracion INFIDELIDAD EMPLE'!$D$8:$F$8</definedName>
    <definedName name="LIM_4" localSheetId="11">'Configuracion CYBER'!$D$7:$G$7</definedName>
    <definedName name="LIM_4" localSheetId="6">#REF!</definedName>
    <definedName name="LIM_4" localSheetId="7">#REF!</definedName>
    <definedName name="LIM_4">'Configuracion INFIDELIDAD EMPLE'!$D$9:$F$9</definedName>
    <definedName name="LIM_5">'Configuracion CYBER'!$D$8:$H$8</definedName>
    <definedName name="LIM_6">'Configuracion CYBER'!$D$9:$H$9</definedName>
    <definedName name="LIM_7">'Configuracion CYBER'!$D$10:$H$10</definedName>
    <definedName name="limite">PRIMAS!$B$20:$B$25</definedName>
    <definedName name="OPC1000000000">COP1.000.000.000[COP1.000.000.000]</definedName>
    <definedName name="OPC1500000000">COP1.500.000.000[COP1.500.000.000]</definedName>
    <definedName name="OPC2000000000">COP2.000.000.000[COP2.000.000.000]</definedName>
    <definedName name="OPC3000000000">COP3.000.000.000[COP3.000.000.000]</definedName>
    <definedName name="OPC500000000">COP500.000.000[COP500.000.000]</definedName>
    <definedName name="opción1">'Nuevas Primas CYBER'!$Z$4:$Z$5</definedName>
    <definedName name="opción2">'Nuevas Primas CYBER'!$AA$4:$AA$5</definedName>
    <definedName name="opción3">'Nuevas Primas CYBER'!$AB$4:$AB$5</definedName>
    <definedName name="opción4">'Nuevas Primas CYBER'!$AC$4:$AC$4</definedName>
    <definedName name="opción5">'Nuevas Primas CYBER'!$AD$4:$AD$4</definedName>
    <definedName name="Rango1">#REF!</definedName>
    <definedName name="Rango2">#REF!</definedName>
    <definedName name="Rango3">#REF!</definedName>
    <definedName name="Rango6">#REF!</definedName>
    <definedName name="Rango7">#REF!</definedName>
    <definedName name="SIE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9" l="1"/>
  <c r="B5" i="19"/>
  <c r="A4" i="19"/>
  <c r="A5" i="19"/>
  <c r="J7" i="19"/>
  <c r="F7" i="19"/>
  <c r="B31" i="2"/>
  <c r="B32" i="2"/>
  <c r="A32" i="2"/>
  <c r="A31" i="2"/>
  <c r="E10" i="17" l="1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" i="17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39" i="16"/>
  <c r="F36" i="18" l="1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35" i="18"/>
  <c r="B13" i="19"/>
  <c r="B14" i="19" s="1"/>
  <c r="B15" i="19" l="1"/>
  <c r="B7" i="19"/>
  <c r="B3" i="19"/>
  <c r="A3" i="19"/>
  <c r="B30" i="2"/>
  <c r="A30" i="2"/>
  <c r="F18" i="19" l="1"/>
  <c r="G9" i="19" s="1"/>
  <c r="J18" i="19"/>
  <c r="B18" i="19"/>
  <c r="C10" i="19" s="1"/>
  <c r="B6" i="8"/>
  <c r="B7" i="8"/>
  <c r="B5" i="8"/>
  <c r="B18" i="8"/>
  <c r="B19" i="8"/>
  <c r="B17" i="8"/>
  <c r="G8" i="19" l="1"/>
  <c r="G10" i="19"/>
  <c r="K10" i="19"/>
  <c r="K8" i="19"/>
  <c r="K9" i="19"/>
  <c r="C9" i="19"/>
  <c r="C8" i="19"/>
  <c r="D5" i="14"/>
  <c r="D4" i="14"/>
  <c r="D3" i="14"/>
  <c r="C92" i="13"/>
  <c r="B92" i="13"/>
  <c r="A92" i="13"/>
  <c r="C91" i="13"/>
  <c r="B91" i="13"/>
  <c r="A91" i="13" s="1"/>
  <c r="C90" i="13"/>
  <c r="B90" i="13"/>
  <c r="A90" i="13"/>
  <c r="C89" i="13"/>
  <c r="B89" i="13"/>
  <c r="A89" i="13"/>
  <c r="C88" i="13"/>
  <c r="B88" i="13"/>
  <c r="A88" i="13"/>
  <c r="C87" i="13"/>
  <c r="B87" i="13"/>
  <c r="A87" i="13" s="1"/>
  <c r="C86" i="13"/>
  <c r="B86" i="13"/>
  <c r="A86" i="13"/>
  <c r="C85" i="13"/>
  <c r="B85" i="13"/>
  <c r="A85" i="13"/>
  <c r="C84" i="13"/>
  <c r="B84" i="13"/>
  <c r="A84" i="13"/>
  <c r="C83" i="13"/>
  <c r="B83" i="13"/>
  <c r="A83" i="13" s="1"/>
  <c r="C82" i="13"/>
  <c r="B82" i="13"/>
  <c r="A82" i="13"/>
  <c r="C81" i="13"/>
  <c r="B81" i="13"/>
  <c r="A81" i="13"/>
  <c r="C80" i="13"/>
  <c r="B80" i="13"/>
  <c r="A80" i="13"/>
  <c r="C79" i="13"/>
  <c r="B79" i="13"/>
  <c r="A79" i="13" s="1"/>
  <c r="C78" i="13"/>
  <c r="B78" i="13"/>
  <c r="A78" i="13"/>
  <c r="C77" i="13"/>
  <c r="B77" i="13"/>
  <c r="A77" i="13"/>
  <c r="C76" i="13"/>
  <c r="B76" i="13"/>
  <c r="A76" i="13"/>
  <c r="C75" i="13"/>
  <c r="B75" i="13"/>
  <c r="A75" i="13" s="1"/>
  <c r="C74" i="13"/>
  <c r="B74" i="13"/>
  <c r="A74" i="13"/>
  <c r="C73" i="13"/>
  <c r="B73" i="13"/>
  <c r="A73" i="13"/>
  <c r="C72" i="13"/>
  <c r="B72" i="13"/>
  <c r="A72" i="13"/>
  <c r="C71" i="13"/>
  <c r="B71" i="13"/>
  <c r="A71" i="13" s="1"/>
  <c r="C70" i="13"/>
  <c r="B70" i="13"/>
  <c r="A70" i="13"/>
  <c r="C69" i="13"/>
  <c r="B69" i="13"/>
  <c r="A69" i="13"/>
  <c r="C68" i="13"/>
  <c r="B68" i="13"/>
  <c r="A68" i="13"/>
  <c r="C67" i="13"/>
  <c r="B67" i="13"/>
  <c r="A67" i="13" s="1"/>
  <c r="C66" i="13"/>
  <c r="B66" i="13"/>
  <c r="A66" i="13"/>
  <c r="C65" i="13"/>
  <c r="B65" i="13"/>
  <c r="A65" i="13"/>
  <c r="C64" i="13"/>
  <c r="B64" i="13"/>
  <c r="A64" i="13"/>
  <c r="C63" i="13"/>
  <c r="B63" i="13"/>
  <c r="A63" i="13" s="1"/>
  <c r="C62" i="13"/>
  <c r="B62" i="13"/>
  <c r="A62" i="13"/>
  <c r="C61" i="13"/>
  <c r="B61" i="13"/>
  <c r="A61" i="13"/>
  <c r="C60" i="13"/>
  <c r="B60" i="13"/>
  <c r="A60" i="13"/>
  <c r="C59" i="13"/>
  <c r="B59" i="13"/>
  <c r="A59" i="13" s="1"/>
  <c r="C58" i="13"/>
  <c r="B58" i="13"/>
  <c r="A58" i="13"/>
  <c r="C57" i="13"/>
  <c r="B57" i="13"/>
  <c r="A57" i="13"/>
  <c r="C53" i="13"/>
  <c r="B53" i="13"/>
  <c r="A53" i="13"/>
  <c r="D52" i="13"/>
  <c r="C52" i="13"/>
  <c r="B52" i="13"/>
  <c r="A52" i="13"/>
  <c r="D51" i="13"/>
  <c r="C51" i="13"/>
  <c r="B51" i="13"/>
  <c r="A51" i="13"/>
  <c r="C50" i="13"/>
  <c r="B50" i="13"/>
  <c r="A50" i="13"/>
  <c r="C49" i="13"/>
  <c r="B49" i="13"/>
  <c r="A49" i="13"/>
  <c r="D48" i="13"/>
  <c r="C48" i="13"/>
  <c r="B48" i="13"/>
  <c r="A48" i="13"/>
  <c r="C47" i="13"/>
  <c r="B47" i="13"/>
  <c r="A47" i="13"/>
  <c r="C46" i="13"/>
  <c r="B46" i="13"/>
  <c r="A46" i="13"/>
  <c r="D45" i="13"/>
  <c r="C45" i="13"/>
  <c r="B45" i="13"/>
  <c r="A45" i="13"/>
  <c r="C44" i="13"/>
  <c r="B44" i="13"/>
  <c r="A44" i="13"/>
  <c r="C43" i="13"/>
  <c r="B43" i="13"/>
  <c r="A43" i="13"/>
  <c r="D42" i="13"/>
  <c r="C42" i="13"/>
  <c r="B42" i="13"/>
  <c r="A42" i="13"/>
  <c r="C41" i="13"/>
  <c r="B41" i="13"/>
  <c r="A41" i="13"/>
  <c r="C40" i="13"/>
  <c r="B40" i="13"/>
  <c r="A40" i="13"/>
  <c r="C39" i="13"/>
  <c r="B39" i="13"/>
  <c r="A39" i="13"/>
  <c r="C38" i="13"/>
  <c r="B38" i="13"/>
  <c r="A38" i="13"/>
  <c r="C37" i="13"/>
  <c r="B37" i="13"/>
  <c r="A37" i="13"/>
  <c r="D36" i="13"/>
  <c r="C36" i="13"/>
  <c r="B36" i="13"/>
  <c r="A36" i="13"/>
  <c r="D35" i="13"/>
  <c r="C35" i="13"/>
  <c r="B35" i="13"/>
  <c r="A35" i="13"/>
  <c r="D34" i="13"/>
  <c r="C34" i="13"/>
  <c r="B34" i="13"/>
  <c r="A34" i="13"/>
  <c r="C33" i="13"/>
  <c r="B33" i="13"/>
  <c r="A33" i="13"/>
  <c r="C32" i="13"/>
  <c r="B32" i="13"/>
  <c r="A32" i="13"/>
  <c r="C31" i="13"/>
  <c r="B31" i="13"/>
  <c r="A31" i="13"/>
  <c r="D30" i="13"/>
  <c r="C30" i="13"/>
  <c r="B30" i="13"/>
  <c r="A30" i="13"/>
  <c r="D29" i="13"/>
  <c r="C29" i="13"/>
  <c r="B29" i="13"/>
  <c r="A29" i="13"/>
  <c r="D28" i="13"/>
  <c r="C28" i="13"/>
  <c r="B28" i="13"/>
  <c r="A28" i="13"/>
  <c r="C27" i="13"/>
  <c r="B27" i="13"/>
  <c r="A27" i="13"/>
  <c r="C26" i="13"/>
  <c r="B26" i="13"/>
  <c r="A26" i="13"/>
  <c r="C25" i="13"/>
  <c r="B25" i="13"/>
  <c r="A25" i="13"/>
  <c r="C24" i="13"/>
  <c r="B24" i="13"/>
  <c r="A24" i="13"/>
  <c r="D23" i="13"/>
  <c r="C23" i="13"/>
  <c r="B23" i="13"/>
  <c r="A23" i="13"/>
  <c r="D22" i="13"/>
  <c r="C22" i="13"/>
  <c r="B22" i="13"/>
  <c r="A22" i="13"/>
  <c r="C21" i="13"/>
  <c r="B21" i="13"/>
  <c r="A21" i="13"/>
  <c r="C20" i="13"/>
  <c r="B20" i="13"/>
  <c r="A20" i="13"/>
  <c r="C19" i="13"/>
  <c r="B19" i="13"/>
  <c r="A19" i="13"/>
  <c r="C18" i="13"/>
  <c r="B18" i="13"/>
  <c r="A18" i="13"/>
  <c r="I13" i="13"/>
  <c r="D53" i="13" s="1"/>
  <c r="H13" i="13"/>
  <c r="G13" i="13"/>
  <c r="F13" i="13"/>
  <c r="D50" i="13" s="1"/>
  <c r="E13" i="13"/>
  <c r="D49" i="13" s="1"/>
  <c r="I12" i="13"/>
  <c r="D47" i="13" s="1"/>
  <c r="H12" i="13"/>
  <c r="D46" i="13" s="1"/>
  <c r="G12" i="13"/>
  <c r="G11" i="13" s="1"/>
  <c r="F12" i="13"/>
  <c r="D44" i="13" s="1"/>
  <c r="E12" i="13"/>
  <c r="E11" i="13" s="1"/>
  <c r="I11" i="13"/>
  <c r="D41" i="13" s="1"/>
  <c r="H11" i="13"/>
  <c r="D40" i="13" s="1"/>
  <c r="D11" i="13"/>
  <c r="D10" i="13"/>
  <c r="D9" i="13"/>
  <c r="D8" i="13" s="1"/>
  <c r="D18" i="13" s="1"/>
  <c r="C5" i="19" l="1"/>
  <c r="C15" i="19"/>
  <c r="C32" i="2" s="1"/>
  <c r="C4" i="19"/>
  <c r="C14" i="19"/>
  <c r="C31" i="2" s="1"/>
  <c r="C3" i="19"/>
  <c r="C13" i="19"/>
  <c r="C30" i="2" s="1"/>
  <c r="C3" i="14"/>
  <c r="C23" i="2" s="1"/>
  <c r="B3" i="14"/>
  <c r="B23" i="2" s="1"/>
  <c r="C5" i="14"/>
  <c r="C25" i="2" s="1"/>
  <c r="B5" i="14"/>
  <c r="C4" i="14"/>
  <c r="B4" i="14"/>
  <c r="B9" i="14" s="1"/>
  <c r="C10" i="14"/>
  <c r="B24" i="2"/>
  <c r="G10" i="13"/>
  <c r="D39" i="13"/>
  <c r="D37" i="13"/>
  <c r="E10" i="13"/>
  <c r="D43" i="13"/>
  <c r="F11" i="13"/>
  <c r="D24" i="13"/>
  <c r="B17" i="2"/>
  <c r="B16" i="2"/>
  <c r="B15" i="2"/>
  <c r="B9" i="8"/>
  <c r="B10" i="8"/>
  <c r="B8" i="8"/>
  <c r="B2" i="8" l="1"/>
  <c r="C15" i="2" s="1"/>
  <c r="B8" i="14"/>
  <c r="B4" i="8"/>
  <c r="C17" i="2" s="1"/>
  <c r="B3" i="8"/>
  <c r="C16" i="2" s="1"/>
  <c r="B14" i="8"/>
  <c r="C8" i="14"/>
  <c r="B25" i="2"/>
  <c r="B10" i="14"/>
  <c r="C24" i="2"/>
  <c r="C9" i="14"/>
  <c r="D38" i="13"/>
  <c r="F10" i="13"/>
  <c r="D31" i="13"/>
  <c r="E9" i="13"/>
  <c r="D33" i="13"/>
  <c r="G9" i="13"/>
  <c r="E10" i="3" a="1"/>
  <c r="E10" i="3" s="1"/>
  <c r="E9" i="3" a="1"/>
  <c r="E9" i="3" s="1"/>
  <c r="E8" i="3" a="1"/>
  <c r="E8" i="3" s="1"/>
  <c r="C46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P40" i="4"/>
  <c r="O40" i="4"/>
  <c r="N40" i="4"/>
  <c r="M40" i="4"/>
  <c r="L40" i="4"/>
  <c r="K40" i="4"/>
  <c r="J40" i="4"/>
  <c r="I40" i="4"/>
  <c r="H40" i="4"/>
  <c r="G40" i="4"/>
  <c r="F40" i="4"/>
  <c r="E40" i="4"/>
  <c r="B2" i="3" s="1" a="1"/>
  <c r="B2" i="3" s="1"/>
  <c r="D40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A3" i="3"/>
  <c r="A4" i="3"/>
  <c r="A2" i="3"/>
  <c r="C28" i="4"/>
  <c r="C27" i="4"/>
  <c r="C26" i="4"/>
  <c r="C25" i="4"/>
  <c r="C24" i="4"/>
  <c r="C23" i="4"/>
  <c r="C22" i="4"/>
  <c r="D22" i="4" s="1"/>
  <c r="C21" i="4"/>
  <c r="C20" i="4"/>
  <c r="C19" i="4"/>
  <c r="C18" i="4"/>
  <c r="C17" i="4"/>
  <c r="H8" i="3" l="1"/>
  <c r="C8" i="2" s="1"/>
  <c r="D8" i="3"/>
  <c r="B8" i="2" s="1"/>
  <c r="H10" i="3"/>
  <c r="C10" i="2" s="1"/>
  <c r="D10" i="3"/>
  <c r="B10" i="2" s="1"/>
  <c r="D9" i="3"/>
  <c r="B9" i="2" s="1"/>
  <c r="H9" i="3"/>
  <c r="C9" i="2" s="1"/>
  <c r="B16" i="8"/>
  <c r="B15" i="8"/>
  <c r="B3" i="2"/>
  <c r="B3" i="3" a="1"/>
  <c r="B3" i="3" s="1"/>
  <c r="B4" i="2" s="1"/>
  <c r="B4" i="3" a="1"/>
  <c r="B4" i="3" s="1"/>
  <c r="B5" i="2" s="1"/>
  <c r="G8" i="13"/>
  <c r="D21" i="13" s="1"/>
  <c r="D27" i="13"/>
  <c r="D25" i="13"/>
  <c r="E8" i="13"/>
  <c r="D19" i="13" s="1"/>
  <c r="D32" i="13"/>
  <c r="F9" i="13"/>
  <c r="D26" i="13" l="1"/>
  <c r="F8" i="13"/>
  <c r="D20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<sst xmlns="http://schemas.openxmlformats.org/spreadsheetml/2006/main" count="1833" uniqueCount="444">
  <si>
    <t>NIT</t>
  </si>
  <si>
    <t>FACTURACIÓN ANUAL TOTAL</t>
  </si>
  <si>
    <t>ALTERNATIVA 1</t>
  </si>
  <si>
    <t>ALTERNATIVA 2</t>
  </si>
  <si>
    <t>ALTERNATIVA 3</t>
  </si>
  <si>
    <t>PRIMA ANUAL COMERCIAL (BRUTA) ANTES DE IMPUESTOS</t>
  </si>
  <si>
    <t>ALTERNATIVA 1 LIMITE</t>
  </si>
  <si>
    <t>ALTERNATIVA 2 LIMITE</t>
  </si>
  <si>
    <t>ALTERNATIVA 3 LIMITE</t>
  </si>
  <si>
    <t>ANEXO DE COBERTURA</t>
  </si>
  <si>
    <t>PROPUESTA ECONOMICA</t>
  </si>
  <si>
    <t>DEDUCIBLE</t>
  </si>
  <si>
    <t>PRIMA BRUTA ANUAL: 
(ANTES DE DERECHOS E IMPUESTOS)</t>
  </si>
  <si>
    <t>Limite de facturación</t>
  </si>
  <si>
    <t>Hasta COP 7.000.000.000</t>
  </si>
  <si>
    <t>Hasta COP 13.000.000.000</t>
  </si>
  <si>
    <t>Hasta COP 20.000.000.000</t>
  </si>
  <si>
    <t>Hasta COP 45.000.000.000</t>
  </si>
  <si>
    <t>Hasta COP 60.000.000.000</t>
  </si>
  <si>
    <t>Hasta COP 85.000.000.000</t>
  </si>
  <si>
    <t>Hasta COP 120.000.000.000</t>
  </si>
  <si>
    <t>Hasta COP 150.000.000.000</t>
  </si>
  <si>
    <t>Hasta COP 200.000.000.000</t>
  </si>
  <si>
    <t>Límite de responsabilidad</t>
  </si>
  <si>
    <t>Anexo de cobertura a la Entidad:</t>
  </si>
  <si>
    <t>DEDUCIBLE PARA ANEXO DE COBERTURA  A LA ENTIDAD</t>
  </si>
  <si>
    <t>PRIMAS Y DEDUCIBLES OFERTA FAST FLOW - V2 10.08.2021</t>
  </si>
  <si>
    <t>LIMITE DE RESPONSABILIDAD (*)</t>
  </si>
  <si>
    <t>FACTURACION TOTAL ANUAL</t>
  </si>
  <si>
    <t>Anexo</t>
  </si>
  <si>
    <t>Constr/Cop</t>
  </si>
  <si>
    <t>Sectores</t>
  </si>
  <si>
    <t>Nuevo</t>
  </si>
  <si>
    <t>SI</t>
  </si>
  <si>
    <t>Otros</t>
  </si>
  <si>
    <t>Renovación</t>
  </si>
  <si>
    <t>NO</t>
  </si>
  <si>
    <t>Copropiedades</t>
  </si>
  <si>
    <t>Construcción</t>
  </si>
  <si>
    <t>Educación, escolarización y atención a la infancia</t>
  </si>
  <si>
    <t>Centros Comerciales</t>
  </si>
  <si>
    <t>Servicios de transporte y almacenamiento</t>
  </si>
  <si>
    <t>Industria manufacturera (maquinaria, equipos, tecnología)</t>
  </si>
  <si>
    <t>Hoteles, alojamiento y hostelería</t>
  </si>
  <si>
    <t>Aviación y aeronáutica</t>
  </si>
  <si>
    <t>Farmacéutico y biotecnología</t>
  </si>
  <si>
    <t>INGRESO1</t>
  </si>
  <si>
    <t>INGRESO2</t>
  </si>
  <si>
    <t>INGRESO3</t>
  </si>
  <si>
    <t>INGRESO4</t>
  </si>
  <si>
    <t>INGRESO5</t>
  </si>
  <si>
    <t>INGRESO6</t>
  </si>
  <si>
    <t>INGRESO7</t>
  </si>
  <si>
    <t>INGRESO8</t>
  </si>
  <si>
    <t>INGRESO9</t>
  </si>
  <si>
    <t>CONDICIONES: 
RESPONSABILIDAD CIVIL PARA DIRECTORES Y ADMINISTRADORES  (Cifras en Pesos Colombianos)</t>
  </si>
  <si>
    <t>TASA PRINCIPAL</t>
  </si>
  <si>
    <t>ALTERNATIVAS DE LÍMITE DE RESPONSABILIDAD Por Reclamación y en el Agregado Anual</t>
  </si>
  <si>
    <t>FACTURACIÓN ANUAL Hasta COP</t>
  </si>
  <si>
    <t>N/A</t>
  </si>
  <si>
    <t>PROPUESTA 2023</t>
  </si>
  <si>
    <t>LIMITE</t>
  </si>
  <si>
    <t>PRIMA NETA</t>
  </si>
  <si>
    <t>TASA</t>
  </si>
  <si>
    <t>TASA  MANUAL</t>
  </si>
  <si>
    <t>PRIMA</t>
  </si>
  <si>
    <t>OPCIÓN 1</t>
  </si>
  <si>
    <t>OPCIÓN 2</t>
  </si>
  <si>
    <t>OPCIÓN 3</t>
  </si>
  <si>
    <t>OPCIÓN 4</t>
  </si>
  <si>
    <t>OPCIÓN 5</t>
  </si>
  <si>
    <t>OPCIÓN 6</t>
  </si>
  <si>
    <t>OPCIÓN 7</t>
  </si>
  <si>
    <t>OPCIÓN 8</t>
  </si>
  <si>
    <t>OPCIÓN 9</t>
  </si>
  <si>
    <t>SECTOR</t>
  </si>
  <si>
    <t>ENTRADAS D&amp;O</t>
  </si>
  <si>
    <t>NOTA DE COBERTURA</t>
  </si>
  <si>
    <t>ENTRADAS INFIDELIDAD DE EMPLEADOS</t>
  </si>
  <si>
    <t>ALTERNATIVA 1 LIMITE POR EVENTO</t>
  </si>
  <si>
    <t>ALTERNATIVA 2 LIMITE POR EVENTO</t>
  </si>
  <si>
    <t>ALTERNATIVA 3 LIMITE POR EVENTO</t>
  </si>
  <si>
    <t>ALTERNATIVA 1 LIMITE POR AGREGADO</t>
  </si>
  <si>
    <t>ALTERNATIVA 2 LIMITE POR AGREGADO</t>
  </si>
  <si>
    <t>ALTERNITIVA 3 LIMITE POR AGREGADO</t>
  </si>
  <si>
    <t>COP1.000.000.000</t>
  </si>
  <si>
    <t>COP2.000.000.000</t>
  </si>
  <si>
    <t>DEDUCIBLE 1</t>
  </si>
  <si>
    <t>DEDUCIBLE 2</t>
  </si>
  <si>
    <t>DEDUCIBLE 3</t>
  </si>
  <si>
    <t>D&amp;O</t>
  </si>
  <si>
    <t>INFIDELIDAD DE EMPLEADOS</t>
  </si>
  <si>
    <t>Se otorga</t>
  </si>
  <si>
    <t>No se otorga</t>
  </si>
  <si>
    <t>0-100</t>
  </si>
  <si>
    <t>101-200</t>
  </si>
  <si>
    <t>201-300</t>
  </si>
  <si>
    <t>Hasta COP 15.000.000.000</t>
  </si>
  <si>
    <t>1 a 100</t>
  </si>
  <si>
    <t>301-500</t>
  </si>
  <si>
    <t>Hasta COP 30.000.000.000</t>
  </si>
  <si>
    <t>101 a 300</t>
  </si>
  <si>
    <t>301 a 500</t>
  </si>
  <si>
    <t>LÍMITE POR EVENTO</t>
  </si>
  <si>
    <t>AGREGADO ANUAL</t>
  </si>
  <si>
    <t>PRIMAS Y DEDUCIBLES OFERTA FAST FLOW - V5 03.04.2024</t>
  </si>
  <si>
    <t>FACTURACIÓN</t>
  </si>
  <si>
    <t>EMPLEADOS</t>
  </si>
  <si>
    <t>CALCULO PRIMA HASTA COP15.000.000.000 Y 100 EMPLEADOS (NUEVO FF INGRESOS HASTA 30.000.000.000)</t>
  </si>
  <si>
    <t>101-300</t>
  </si>
  <si>
    <t>CALCULO PRIMA HASTA COP30.000.000.000 Y 100 EMPLEADOS</t>
  </si>
  <si>
    <t>CALCULO PRIMA HASTA COP45.000.000.000 Y 100 EMPLEADOS</t>
  </si>
  <si>
    <t>CALCULO PRIMA HASTA COP60.000.000.000 Y 100 EMPLEADOS</t>
  </si>
  <si>
    <t>CALCULO PRIMA HASTA COP100.000.000.000 Y 100 EMPLEADOS</t>
  </si>
  <si>
    <t>CALCULO PRIMA HASTA COP30.000.000.000,(101-300) EMPLEADOS</t>
  </si>
  <si>
    <t>CALCULO PRIMA HASTA COP45.000.000.000 (101-300) EMPLEADOS</t>
  </si>
  <si>
    <t>CALCULO PRIMA HASTA COP60.000.000.000 (101-300) EMPLEADOS</t>
  </si>
  <si>
    <t>CALCULO PRIMA HASTA COP100.000.000.000 (101-300) EMPLEADOS</t>
  </si>
  <si>
    <t>CALCULO PRIMA HASTA COP30.000.000.000,(301-500) EMPLEADOS</t>
  </si>
  <si>
    <t>CALCULO PRIMA HASTA COP45.000.000.000 (301-500) EMPLEADOS</t>
  </si>
  <si>
    <t>CALCULO PRIMA HASTA COP60.000.000.000 (301-500) EMPLEADOS</t>
  </si>
  <si>
    <t>CALCULO PRIMA HASTA COP100.000.000.000 (301-500) EMPLEADOS</t>
  </si>
  <si>
    <t>ALTERNATIVA 4</t>
  </si>
  <si>
    <t>ALTERNATIVA 5</t>
  </si>
  <si>
    <t>AGREGADO</t>
  </si>
  <si>
    <t>ALTERNATIVA 2 / ALTERNATIVA I</t>
  </si>
  <si>
    <t>ALTERNATIVA 3 / ALTERNATIVA I</t>
  </si>
  <si>
    <t>ALTERNATIVA 4 / ALTERNATIVA I</t>
  </si>
  <si>
    <t>CALCULO PRIMA HASTA COP30.000.000.000 Y 300 EMPLEADOS ( (NUEVO FF INGRESOS HASTA 45.000.000.000)</t>
  </si>
  <si>
    <t xml:space="preserve">ACTUAL </t>
  </si>
  <si>
    <t xml:space="preserve">PROPUESTA </t>
  </si>
  <si>
    <t>CALCULO PRIMA HASTA COP40.000.000.000 Y 300 EMPLEADOS ( (NUEVO FF INGRESOS HASTA 70.000.000.000)</t>
  </si>
  <si>
    <t>CALCULO PRIMA HASTA COP40.000.000.000 Y 300 EMPLEADOS (NUEVO FF RANGO DE HASTA 60,000,000 Y 300 EMPLEADOS</t>
  </si>
  <si>
    <t>CALCULO PRIMA HASTA COP40.000.000.000 Y 500 EMPLEADOS</t>
  </si>
  <si>
    <t>CALCULO PRIMA HASTA COP60.000.000.000 Y 300 EMPLEADOS ( (NUEVO FF INGRESOS HASTA 100.000.000.000)</t>
  </si>
  <si>
    <t>CALCULO PRIMA HASTA COP60.000.000.000 Y 300 EMPLEADOS</t>
  </si>
  <si>
    <t>CALCULO PRIMA HASTA COP60.000.000.000 Y 500 EMPLEADOS</t>
  </si>
  <si>
    <t>1-100</t>
  </si>
  <si>
    <t>CONDICIONES: 
CRIME  (Cifras en Pesos Colombianos)</t>
  </si>
  <si>
    <t>COP500.000.000</t>
  </si>
  <si>
    <t>COP1.500.000.000</t>
  </si>
  <si>
    <t>COP3.000.000.000</t>
  </si>
  <si>
    <t>COP30.000.000</t>
  </si>
  <si>
    <t>PRIMAS X AGREGADO</t>
  </si>
  <si>
    <t>COP50.000.000</t>
  </si>
  <si>
    <t>COP60.000.000</t>
  </si>
  <si>
    <t>COP65.000.000</t>
  </si>
  <si>
    <t>COP70.000.000</t>
  </si>
  <si>
    <t>5500000000</t>
  </si>
  <si>
    <t>INGRESOS</t>
  </si>
  <si>
    <t>LIMITE EVENTO</t>
  </si>
  <si>
    <t>LIMITE AGREGADO</t>
  </si>
  <si>
    <t>CONCATENAR</t>
  </si>
  <si>
    <t>1-100-15000000000-COP500.000.000-COP1.000.000.000</t>
  </si>
  <si>
    <t>1-100-15000000000-COP1.000.000.000-COP2.000.000.000</t>
  </si>
  <si>
    <t>1-100-15000000000-COP1.500.000.000-COP3.000.000.000</t>
  </si>
  <si>
    <t>1-100-30000000000-COP500.000.000-COP1.000.000.000</t>
  </si>
  <si>
    <t>1-100-30000000000-COP1.000.000.000-COP2.000.000.000</t>
  </si>
  <si>
    <t>1-100-30000000000-COP1.500.000.000-COP3.000.000.000</t>
  </si>
  <si>
    <t>1-100-45000000000-COP500.000.000-COP1.000.000.000</t>
  </si>
  <si>
    <t>1-100-45000000000-COP1.000.000.000-COP2.000.000.000</t>
  </si>
  <si>
    <t>1-100-45000000000-COP1.500.000.000-COP3.000.000.000</t>
  </si>
  <si>
    <t>1-100-60000000000-COP500.000.000-COP1.000.000.000</t>
  </si>
  <si>
    <t>1-100-60000000000-COP1.000.000.000-COP2.000.000.000</t>
  </si>
  <si>
    <t>1-100-60000000000-COP1.500.000.000-COP3.000.000.000</t>
  </si>
  <si>
    <t>1-100-80000000000-COP500.000.000-COP1.000.000.000</t>
  </si>
  <si>
    <t>1-100-80000000000-COP1.000.000.000-COP2.000.000.000</t>
  </si>
  <si>
    <t>1-100-80000000000-COP1.500.000.000-COP3.000.000.000</t>
  </si>
  <si>
    <t>1-100-100000000000-COP500.000.000-COP1.000.000.000</t>
  </si>
  <si>
    <t>1-100-100000000000-COP1.000.000.000-COP2.000.000.000</t>
  </si>
  <si>
    <t>1-100-100000000000-COP1.500.000.000-COP3.000.000.000</t>
  </si>
  <si>
    <t>101-300-15000000000-COP500.000.000-COP1.000.000.000</t>
  </si>
  <si>
    <t>101-300-15000000000-COP1.000.000.000-COP2.000.000.000</t>
  </si>
  <si>
    <t>101-300-15000000000-COP1.500.000.000-COP3.000.000.000</t>
  </si>
  <si>
    <t>101-300-30000000000-COP500.000.000-COP1.000.000.000</t>
  </si>
  <si>
    <t>101-300-30000000000-COP1.000.000.000-COP2.000.000.000</t>
  </si>
  <si>
    <t>101-300-30000000000-COP1.500.000.000-COP3.000.000.000</t>
  </si>
  <si>
    <t>101-300-45000000000-COP500.000.000-COP1.000.000.000</t>
  </si>
  <si>
    <t>101-300-45000000000-COP1.000.000.000-COP2.000.000.000</t>
  </si>
  <si>
    <t>101-300-45000000000-COP1.500.000.000-COP3.000.000.000</t>
  </si>
  <si>
    <t>101-300-60000000000-COP500.000.000-COP1.000.000.000</t>
  </si>
  <si>
    <t>101-300-60000000000-COP1.000.000.000-COP2.000.000.000</t>
  </si>
  <si>
    <t>101-300-60000000000-COP1.500.000.000-COP3.000.000.000</t>
  </si>
  <si>
    <t>101-300-80000000000-COP500.000.000-COP1.000.000.000</t>
  </si>
  <si>
    <t>101-300-80000000000-COP1.000.000.000-COP2.000.000.000</t>
  </si>
  <si>
    <t>101-300-80000000000-COP1.500.000.000-COP3.000.000.000</t>
  </si>
  <si>
    <t>101-300-100000000000-COP500.000.000-COP1.000.000.000</t>
  </si>
  <si>
    <t>101-300-100000000000-COP1.000.000.000-COP2.000.000.000</t>
  </si>
  <si>
    <t>101-300-100000000000-COP1.500.000.000-COP3.000.000.000</t>
  </si>
  <si>
    <t>301-500-15000000000-COP500.000.000-COP1.000.000.000</t>
  </si>
  <si>
    <t>301-500-15000000000-COP1.000.000.000-COP2.000.000.000</t>
  </si>
  <si>
    <t>301-500-15000000000-COP1.500.000.000-COP3.000.000.000</t>
  </si>
  <si>
    <t>301-500-30000000000-COP500.000.000-COP1.000.000.000</t>
  </si>
  <si>
    <t>301-500-30000000000-COP1.000.000.000-COP2.000.000.000</t>
  </si>
  <si>
    <t>301-500-30000000000-COP1.500.000.000-COP3.000.000.000</t>
  </si>
  <si>
    <t>301-500-45000000000-COP500.000.000-COP1.000.000.000</t>
  </si>
  <si>
    <t>301-500-45000000000-COP1.000.000.000-COP2.000.000.000</t>
  </si>
  <si>
    <t>301-500-45000000000-COP1.500.000.000-COP3.000.000.000</t>
  </si>
  <si>
    <t>301-500-60000000000-COP500.000.000-COP1.000.000.000</t>
  </si>
  <si>
    <t>301-500-60000000000-COP1.000.000.000-COP2.000.000.000</t>
  </si>
  <si>
    <t>301-500-60000000000-COP1.500.000.000-COP3.000.000.000</t>
  </si>
  <si>
    <t>301-500-80000000000-COP500.000.000-COP1.000.000.000</t>
  </si>
  <si>
    <t>301-500-80000000000-COP1.000.000.000-COP2.000.000.000</t>
  </si>
  <si>
    <t>301-500-80000000000-COP1.500.000.000-COP3.000.000.000</t>
  </si>
  <si>
    <t>301-500-100000000000-COP500.000.000-COP1.000.000.000</t>
  </si>
  <si>
    <t>301-500-100000000000-COP1.000.000.000-COP2.000.000.000</t>
  </si>
  <si>
    <t>301-500-100000000000-COP1.500.000.000-COP3.000.000.000</t>
  </si>
  <si>
    <t>1-100-15000000000-COP2.000.000.000-N/A</t>
  </si>
  <si>
    <t>1-100-15000000000-COP3.000.000.000-N/A</t>
  </si>
  <si>
    <t>1-100-30000000000-COP2.000.000.000-N/A</t>
  </si>
  <si>
    <t>1-100-30000000000-COP3.000.000.000-N/A</t>
  </si>
  <si>
    <t>1-100-45000000000-COP2.000.000.000-N/A</t>
  </si>
  <si>
    <t>1-100-45000000000-COP3.000.000.000-N/A</t>
  </si>
  <si>
    <t>1-100-60000000000-COP2.000.000.000-N/A</t>
  </si>
  <si>
    <t>1-100-60000000000-COP3.000.000.000-N/A</t>
  </si>
  <si>
    <t>1-100-80000000000-COP2.000.000.000-N/A</t>
  </si>
  <si>
    <t>1-100-80000000000-COP3.000.000.000-N/A</t>
  </si>
  <si>
    <t>1-100-100000000000-COP2.000.000.000-N/A</t>
  </si>
  <si>
    <t>1-100-100000000000-COP3.000.000.000-N/A</t>
  </si>
  <si>
    <t>101-300-15000000000-COP2.000.000.000-N/A</t>
  </si>
  <si>
    <t>101-300-15000000000-COP3.000.000.000-N/A</t>
  </si>
  <si>
    <t>101-300-30000000000-COP2.000.000.000-N/A</t>
  </si>
  <si>
    <t>101-300-30000000000-COP3.000.000.000-N/A</t>
  </si>
  <si>
    <t>101-300-45000000000-COP2.000.000.000-N/A</t>
  </si>
  <si>
    <t>101-300-45000000000-COP3.000.000.000-N/A</t>
  </si>
  <si>
    <t>101-300-60000000000-COP2.000.000.000-N/A</t>
  </si>
  <si>
    <t>101-300-60000000000-COP3.000.000.000-N/A</t>
  </si>
  <si>
    <t>101-300-80000000000-COP2.000.000.000-N/A</t>
  </si>
  <si>
    <t>101-300-80000000000-COP3.000.000.000-N/A</t>
  </si>
  <si>
    <t>101-300-100000000000-COP2.000.000.000-N/A</t>
  </si>
  <si>
    <t>101-300-100000000000-COP3.000.000.000-N/A</t>
  </si>
  <si>
    <t>301-500-15000000000-COP2.000.000.000-N/A</t>
  </si>
  <si>
    <t>301-500-15000000000-COP3.000.000.000-N/A</t>
  </si>
  <si>
    <t>301-500-30000000000-COP2.000.000.000-N/A</t>
  </si>
  <si>
    <t>301-500-30000000000-COP3.000.000.000-N/A</t>
  </si>
  <si>
    <t>301-500-45000000000-COP2.000.000.000-N/A</t>
  </si>
  <si>
    <t>301-500-45000000000-COP3.000.000.000-N/A</t>
  </si>
  <si>
    <t>301-500-60000000000-COP2.000.000.000-N/A</t>
  </si>
  <si>
    <t>301-500-60000000000-COP3.000.000.000-N/A</t>
  </si>
  <si>
    <t>301-500-80000000000-COP2.000.000.000-N/A</t>
  </si>
  <si>
    <t>301-500-80000000000-COP3.000.000.000-N/A</t>
  </si>
  <si>
    <t>301-500-100000000000-COP2.000.000.000-N/A</t>
  </si>
  <si>
    <t>301-500-100000000000-COP3.000.000.000-N/A</t>
  </si>
  <si>
    <t>LLAVE 2</t>
  </si>
  <si>
    <t>LLAVE 3</t>
  </si>
  <si>
    <t>LLAVE 1</t>
  </si>
  <si>
    <t>PRIMA ALTERNATIVA 1</t>
  </si>
  <si>
    <t>PRIMA ALTERNATIVA 2</t>
  </si>
  <si>
    <t>PRIMA ALTERNATIVA 3</t>
  </si>
  <si>
    <t>ENTRADAS CYBER</t>
  </si>
  <si>
    <t>PRIMA NOTA DE COBERTURA</t>
  </si>
  <si>
    <t xml:space="preserve">DEDUCIBLE </t>
  </si>
  <si>
    <t>Limite de indemnizacion</t>
  </si>
  <si>
    <t>Hasta $1.500.000.000</t>
  </si>
  <si>
    <t>Desde $1.500.000.001 hasta $3.000.000.000</t>
  </si>
  <si>
    <t>Desde $3.000.000.001 hasta $8.000.000.000</t>
  </si>
  <si>
    <t>Desde $8.000.000.001 hasta $15.000.000.000</t>
  </si>
  <si>
    <t>Desde $15.000.000.001 hasta $30.000.000.000</t>
  </si>
  <si>
    <t>Desde $30.000.000.001 hasta $60.000.000.000</t>
  </si>
  <si>
    <t>Desde $60.000.000.001 hasta $100.000.000.000</t>
  </si>
  <si>
    <t>Deducible</t>
  </si>
  <si>
    <t>LIMITE DE INDEMNIZACION (*)</t>
  </si>
  <si>
    <t>DEDUCIBLE   (**)</t>
  </si>
  <si>
    <t>No se Otorga</t>
  </si>
  <si>
    <t>Sección</t>
  </si>
  <si>
    <t>Nombre</t>
  </si>
  <si>
    <t>Recargo</t>
  </si>
  <si>
    <t>A</t>
  </si>
  <si>
    <t>AGRICULTURA, GANADERIA, PRODUCCION FORESTAL, PESCA Y ACUICULTURA</t>
  </si>
  <si>
    <t>AGRICULTURA, GANADERIA Y SERVICIOS CONEXOS</t>
  </si>
  <si>
    <t>PRODUCCIÓN FORESTAL</t>
  </si>
  <si>
    <t>PESCA Y ACUICULTURA</t>
  </si>
  <si>
    <t>OTROS MISCELANIOS AGRICULTURA, GANADERIA, PRODUCCION FORESTAL, PESCA Y ACUICULTURA</t>
  </si>
  <si>
    <t>B</t>
  </si>
  <si>
    <t>INDUSTRIAS DE TRANSFORMACIÓN</t>
  </si>
  <si>
    <t>FABRICACIÓN DE PRODUCTOS ALIMENTICIOS</t>
  </si>
  <si>
    <t>FABRICACIÓN DE BEBIDAS</t>
  </si>
  <si>
    <t>FABRICACIÓN DE PRODUCTOS TEXTILES</t>
  </si>
  <si>
    <t>CONFECCIÓN DE ROPA Y ACCESORIOS</t>
  </si>
  <si>
    <t xml:space="preserve">
PREPARACIÓN DE CUEROS Y FABRICACIÓN DE ARTÍCULOS DE CUERO, ARTÍCULOS DE VIAJE Y CALZADO</t>
  </si>
  <si>
    <t>FABRICACIÓN DE PRODUCTOS DE MADERA</t>
  </si>
  <si>
    <t xml:space="preserve">
FABRICACIÓN DE PRODUCTOS DE CAUCHO Y MATERIAL PLÁSTICO</t>
  </si>
  <si>
    <t>FABRICACIÓN DE EQUIPOS DE COMPUTACIÓN, PRODUCTOS ELECTRÓNICOS Y ÓPTICOS</t>
  </si>
  <si>
    <t>FABRICACIÓN DE MAQUINARIA Y EQUIPO</t>
  </si>
  <si>
    <t xml:space="preserve">
FABRICACIÓN DE OTROS EQUIPOS DE TRANSPORTE, EXCEPTO VEHÍCULOS AUTOMOTORES</t>
  </si>
  <si>
    <t>FABRICACIÓN DE MUEBLES</t>
  </si>
  <si>
    <t>FABRICACIÓN DE PRODUCTOS VARIOS</t>
  </si>
  <si>
    <t>MANTENIMIENTO, REPARACIÓN E INSTALACIÓN DE MAQUINARIA Y EQUIPO</t>
  </si>
  <si>
    <t>OTROS MISCELANIOS INDUSTRIAS DE TRANSFORMACIÓN</t>
  </si>
  <si>
    <t>C</t>
  </si>
  <si>
    <t>ACTIVIDADES INMOBILIARIAS</t>
  </si>
  <si>
    <t>CENTROS COMERCIALES</t>
  </si>
  <si>
    <t>OFICINAS</t>
  </si>
  <si>
    <t>OTRAS ACTIVIDADES INMOBILIARIAS</t>
  </si>
  <si>
    <t>D</t>
  </si>
  <si>
    <t xml:space="preserve">
TRANSPORTE </t>
  </si>
  <si>
    <t xml:space="preserve">
TRANSPORTE TERRESTRE</t>
  </si>
  <si>
    <t>TRANSPORTE DE AGUA</t>
  </si>
  <si>
    <t>ACTIVIDADES AUXILIARES DEL TRANSPORTE</t>
  </si>
  <si>
    <t>E</t>
  </si>
  <si>
    <t xml:space="preserve">RETAIL (comercio mayorista) </t>
  </si>
  <si>
    <t>F</t>
  </si>
  <si>
    <t>Asociaciones Profesionales.</t>
  </si>
  <si>
    <t>G</t>
  </si>
  <si>
    <t>Firmas constructoras.</t>
  </si>
  <si>
    <t>H</t>
  </si>
  <si>
    <t>ALIMENTACIÓN</t>
  </si>
  <si>
    <t>RESTAURANTES (CON VENTAS ONLINE INFERIORES AL 30% DEL TOTAL DE INGRESOS)</t>
  </si>
  <si>
    <t>I</t>
  </si>
  <si>
    <t>ACTIVIDADES ADMINISTRATIVAS Y SERVICIOS COMPLEMENTARIOS</t>
  </si>
  <si>
    <t>J</t>
  </si>
  <si>
    <t xml:space="preserve">
ARTE, CULTURA, DEPORTE Y RECREACIÓN</t>
  </si>
  <si>
    <t>ACTIVIDADES ARTÍSTICAS, CREATIVAS Y DE ESPECTÁCULO</t>
  </si>
  <si>
    <t>ACTIVIDADES VINCULADAS AL PATRIMONIO CULTURAL Y AMBIENTAL</t>
  </si>
  <si>
    <t>CLUBES DE EVENTOS SOCIALES</t>
  </si>
  <si>
    <t xml:space="preserve">EMPRESAS DE SEGURIDAD PRIVADA </t>
  </si>
  <si>
    <t>FIRMAS DE ABOGADOS</t>
  </si>
  <si>
    <t>EDUCACIÓN (COLEGIOS, UNIVERSIDADES O SIMILARES)</t>
  </si>
  <si>
    <t>CONDICIONES: 
CYBER  (Cifras en Pesos Colombianos)</t>
  </si>
  <si>
    <t>PRIMAS</t>
  </si>
  <si>
    <t>DEDUCIBLES</t>
  </si>
  <si>
    <t>CYBER</t>
  </si>
  <si>
    <t>1-100-15000000000-COP500.000.000-COP500.000.000</t>
  </si>
  <si>
    <t>1-100-15000000000-COP1.000.000.000-COP1.000.000.000</t>
  </si>
  <si>
    <t>1-100-15000000000-COP1.500.000.000-COP1.500.000.000</t>
  </si>
  <si>
    <t>1-100-15000000000-COP2.000.000.000-COP2.000.000.000</t>
  </si>
  <si>
    <t>1-100-15000000000-COP3.000.000.000-COP3.000.000.000</t>
  </si>
  <si>
    <t>1-100-30000000000-COP500.000.000-COP500.000.000</t>
  </si>
  <si>
    <t>1-100-30000000000-COP1.000.000.000-COP1.000.000.000</t>
  </si>
  <si>
    <t>1-100-30000000000-COP1.500.000.000-COP1.500.000.000</t>
  </si>
  <si>
    <t>1-100-30000000000-COP2.000.000.000-COP2.000.000.000</t>
  </si>
  <si>
    <t>1-100-30000000000-COP3.000.000.000-COP3.000.000.000</t>
  </si>
  <si>
    <t>1-100-45000000000-COP500.000.000-COP500.000.000</t>
  </si>
  <si>
    <t>1-100-45000000000-COP1.000.000.000-COP1.000.000.000</t>
  </si>
  <si>
    <t>1-100-45000000000-COP1.500.000.000-COP1.500.000.000</t>
  </si>
  <si>
    <t>1-100-45000000000-COP2.000.000.000-COP2.000.000.000</t>
  </si>
  <si>
    <t>1-100-45000000000-COP3.000.000.000-COP3.000.000.000</t>
  </si>
  <si>
    <t>1-100-60000000000-COP500.000.000-COP500.000.000</t>
  </si>
  <si>
    <t>1-100-60000000000-COP1.000.000.000-COP1.000.000.000</t>
  </si>
  <si>
    <t>1-100-60000000000-COP1.500.000.000-COP1.500.000.000</t>
  </si>
  <si>
    <t>1-100-60000000000-COP2.000.000.000-COP2.000.000.000</t>
  </si>
  <si>
    <t>1-100-60000000000-COP3.000.000.000-COP3.000.000.000</t>
  </si>
  <si>
    <t>1-100-80000000000-COP500.000.000-COP500.000.000</t>
  </si>
  <si>
    <t>1-100-80000000000-COP1.000.000.000-COP1.000.000.000</t>
  </si>
  <si>
    <t>1-100-80000000000-COP1.500.000.000-COP1.500.000.000</t>
  </si>
  <si>
    <t>1-100-80000000000-COP2.000.000.000-COP2.000.000.000</t>
  </si>
  <si>
    <t>1-100-80000000000-COP3.000.000.000-COP3.000.000.000</t>
  </si>
  <si>
    <t>1-100-100000000000-COP500.000.000-COP500.000.000</t>
  </si>
  <si>
    <t>1-100-100000000000-COP1.000.000.000-COP1.000.000.000</t>
  </si>
  <si>
    <t>1-100-100000000000-COP1.500.000.000-COP1.500.000.000</t>
  </si>
  <si>
    <t>1-100-100000000000-COP2.000.000.000-COP2.000.000.000</t>
  </si>
  <si>
    <t>1-100-100000000000-COP3.000.000.000-COP3.000.000.000</t>
  </si>
  <si>
    <t>101-300-15000000000-COP500.000.000-COP500.000.000</t>
  </si>
  <si>
    <t>101-300-15000000000-COP1.000.000.000-COP1.000.000.000</t>
  </si>
  <si>
    <t>101-300-15000000000-COP1.500.000.000-COP1.500.000.000</t>
  </si>
  <si>
    <t>101-300-15000000000-COP2.000.000.000-COP2.000.000.000</t>
  </si>
  <si>
    <t>101-300-15000000000-COP3.000.000.000-COP3.000.000.000</t>
  </si>
  <si>
    <t>101-300-30000000000-COP500.000.000-COP500.000.000</t>
  </si>
  <si>
    <t>101-300-30000000000-COP1.000.000.000-COP1.000.000.000</t>
  </si>
  <si>
    <t>101-300-30000000000-COP1.500.000.000-COP1.500.000.000</t>
  </si>
  <si>
    <t>101-300-30000000000-COP2.000.000.000-COP2.000.000.000</t>
  </si>
  <si>
    <t>101-300-30000000000-COP3.000.000.000-COP3.000.000.000</t>
  </si>
  <si>
    <t>101-300-45000000000-COP500.000.000-COP500.000.000</t>
  </si>
  <si>
    <t>101-300-45000000000-COP1.000.000.000-COP1.000.000.000</t>
  </si>
  <si>
    <t>101-300-45000000000-COP1.500.000.000-COP1.500.000.000</t>
  </si>
  <si>
    <t>101-300-45000000000-COP2.000.000.000-COP2.000.000.000</t>
  </si>
  <si>
    <t>101-300-45000000000-COP3.000.000.000-COP3.000.000.000</t>
  </si>
  <si>
    <t>101-300-60000000000-COP500.000.000-COP500.000.000</t>
  </si>
  <si>
    <t>101-300-60000000000-COP1.000.000.000-COP1.000.000.000</t>
  </si>
  <si>
    <t>101-300-60000000000-COP1.500.000.000-COP1.500.000.000</t>
  </si>
  <si>
    <t>101-300-60000000000-COP2.000.000.000-COP2.000.000.000</t>
  </si>
  <si>
    <t>101-300-60000000000-COP3.000.000.000-COP3.000.000.000</t>
  </si>
  <si>
    <t>101-300-80000000000-COP500.000.000-COP500.000.000</t>
  </si>
  <si>
    <t>101-300-80000000000-COP1.000.000.000-COP1.000.000.000</t>
  </si>
  <si>
    <t>101-300-80000000000-COP1.500.000.000-COP1.500.000.000</t>
  </si>
  <si>
    <t>101-300-80000000000-COP2.000.000.000-COP2.000.000.000</t>
  </si>
  <si>
    <t>101-300-80000000000-COP3.000.000.000-COP3.000.000.000</t>
  </si>
  <si>
    <t>101-300-100000000000-COP500.000.000-COP500.000.000</t>
  </si>
  <si>
    <t>101-300-100000000000-COP1.000.000.000-COP1.000.000.000</t>
  </si>
  <si>
    <t>101-300-100000000000-COP1.500.000.000-COP1.500.000.000</t>
  </si>
  <si>
    <t>101-300-100000000000-COP2.000.000.000-COP2.000.000.000</t>
  </si>
  <si>
    <t>101-300-100000000000-COP3.000.000.000-COP3.000.000.000</t>
  </si>
  <si>
    <t>301-500-15000000000-COP500.000.000-COP500.000.000</t>
  </si>
  <si>
    <t>301-500-15000000000-COP1.000.000.000-COP1.000.000.000</t>
  </si>
  <si>
    <t>301-500-15000000000-COP1.500.000.000-COP1.500.000.000</t>
  </si>
  <si>
    <t>301-500-15000000000-COP2.000.000.000-COP2.000.000.000</t>
  </si>
  <si>
    <t>301-500-15000000000-COP3.000.000.000-COP3.000.000.000</t>
  </si>
  <si>
    <t>301-500-30000000000-COP500.000.000-COP500.000.000</t>
  </si>
  <si>
    <t>301-500-30000000000-COP1.000.000.000-COP1.000.000.000</t>
  </si>
  <si>
    <t>301-500-30000000000-COP1.500.000.000-COP1.500.000.000</t>
  </si>
  <si>
    <t>301-500-30000000000-COP2.000.000.000-COP2.000.000.000</t>
  </si>
  <si>
    <t>301-500-30000000000-COP3.000.000.000-COP3.000.000.000</t>
  </si>
  <si>
    <t>301-500-45000000000-COP500.000.000-COP500.000.000</t>
  </si>
  <si>
    <t>301-500-45000000000-COP1.000.000.000-COP1.000.000.000</t>
  </si>
  <si>
    <t>301-500-45000000000-COP1.500.000.000-COP1.500.000.000</t>
  </si>
  <si>
    <t>301-500-45000000000-COP2.000.000.000-COP2.000.000.000</t>
  </si>
  <si>
    <t>301-500-45000000000-COP3.000.000.000-COP3.000.000.000</t>
  </si>
  <si>
    <t>301-500-60000000000-COP500.000.000-COP500.000.000</t>
  </si>
  <si>
    <t>301-500-60000000000-COP1.000.000.000-COP1.000.000.000</t>
  </si>
  <si>
    <t>301-500-60000000000-COP1.500.000.000-COP1.500.000.000</t>
  </si>
  <si>
    <t>301-500-60000000000-COP2.000.000.000-COP2.000.000.000</t>
  </si>
  <si>
    <t>301-500-60000000000-COP3.000.000.000-COP3.000.000.000</t>
  </si>
  <si>
    <t>301-500-80000000000-COP500.000.000-COP500.000.000</t>
  </si>
  <si>
    <t>301-500-80000000000-COP1.000.000.000-COP1.000.000.000</t>
  </si>
  <si>
    <t>301-500-80000000000-COP1.500.000.000-COP1.500.000.000</t>
  </si>
  <si>
    <t>301-500-80000000000-COP2.000.000.000-COP2.000.000.000</t>
  </si>
  <si>
    <t>301-500-80000000000-COP3.000.000.000-COP3.000.000.000</t>
  </si>
  <si>
    <t>301-500-100000000000-COP500.000.000-COP500.000.000</t>
  </si>
  <si>
    <t>301-500-100000000000-COP1.000.000.000-COP1.000.000.000</t>
  </si>
  <si>
    <t>301-500-100000000000-COP1.500.000.000-COP1.500.000.000</t>
  </si>
  <si>
    <t>301-500-100000000000-COP2.000.000.000-COP2.000.000.000</t>
  </si>
  <si>
    <t>301-500-100000000000-COP3.000.000.000-COP3.000.000.000</t>
  </si>
  <si>
    <t>500000000_500000000</t>
  </si>
  <si>
    <t>500000000_1000000000</t>
  </si>
  <si>
    <t>1000000000_1000000000</t>
  </si>
  <si>
    <t>1000000000_2000000000</t>
  </si>
  <si>
    <t>1500000000_1500000000</t>
  </si>
  <si>
    <t>1500000000_3000000000</t>
  </si>
  <si>
    <t>2000000000_2000000000</t>
  </si>
  <si>
    <t>Hasta COP 15.000.000.000_1 a 100</t>
  </si>
  <si>
    <t>Hasta COP 30.000.000.000_1 a 100</t>
  </si>
  <si>
    <t>Hasta COP 30.000.000.000_101 a 300</t>
  </si>
  <si>
    <t>Hasta COP 45.000.000.000_1 a 100</t>
  </si>
  <si>
    <t>Hasta COP 45.000.000.000_101 a 300</t>
  </si>
  <si>
    <t>Hasta COP 45.000.000.000_301 a 500</t>
  </si>
  <si>
    <t>Hasta COP 60.000.000.000_1 a 100</t>
  </si>
  <si>
    <t>Hasta COP 60.000.000.000_101 a 300</t>
  </si>
  <si>
    <t>Hasta COP 60.000.000.000_301 a 500</t>
  </si>
  <si>
    <t>PI</t>
  </si>
  <si>
    <t>ACTIVIDAD</t>
  </si>
  <si>
    <t>ADMINISTRADORES</t>
  </si>
  <si>
    <t>CONTADORES</t>
  </si>
  <si>
    <t>Hasta COP 3.000.000.000</t>
  </si>
  <si>
    <t>Hasta COP 5.000.000.000</t>
  </si>
  <si>
    <t>Hasta COP 7.500.000.000</t>
  </si>
  <si>
    <t>Hasta COP 10.000.000.000</t>
  </si>
  <si>
    <t xml:space="preserve">LIMITE </t>
  </si>
  <si>
    <t>ABOGADOS</t>
  </si>
  <si>
    <t>ENTRADA</t>
  </si>
  <si>
    <t>llave</t>
  </si>
  <si>
    <t>Límite de responsabilidad 1</t>
  </si>
  <si>
    <t>Límite de responsabilidad 2</t>
  </si>
  <si>
    <t>Límite de responsabilidad 3</t>
  </si>
  <si>
    <t>LLAVE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</si>
</sst>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dd/mm/yyyy;@"/>
    <numFmt numFmtId="167" formatCode="_(* #,##0.00_);_(* \(#,##0.00\);_(* &quot;-&quot;??_);_(@_)"/>
    <numFmt numFmtId="168" formatCode="_-* #,##0_-;\-* #,##0_-;_-* &quot;-&quot;??_-;_-@_-"/>
    <numFmt numFmtId="169" formatCode="_(&quot;$&quot;* #,##0.00_);_(&quot;$&quot;* \(#,##0.00\);_(&quot;$&quot;* &quot;-&quot;??_);_(@_)"/>
    <numFmt numFmtId="170" formatCode="_-&quot;$&quot;\ * #,##0_-;\-&quot;$&quot;\ * #,##0_-;_-&quot;$&quot;\ * &quot;-&quot;??_-;_-@_-"/>
    <numFmt numFmtId="171" formatCode="#,##0_ ;\-#,##0\ "/>
    <numFmt numFmtId="172" formatCode="#,##0.000"/>
    <numFmt numFmtId="173" formatCode="_(&quot;$&quot;* #,##0_);_(&quot;$&quot;* \(#,##0\);_(&quot;$&quot;* &quot;-&quot;??_);_(@_)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002060"/>
      <name val="Arial"/>
      <family val="2"/>
    </font>
    <font>
      <b/>
      <sz val="8"/>
      <color rgb="FF002060"/>
      <name val="Frutiger 45 Light"/>
      <family val="2"/>
    </font>
    <font>
      <b/>
      <sz val="8"/>
      <color theme="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8"/>
      <color rgb="FF000066"/>
      <name val="Arial"/>
      <family val="2"/>
    </font>
    <font>
      <sz val="10"/>
      <color rgb="FF002060"/>
      <name val="Arial"/>
      <family val="2"/>
    </font>
    <font>
      <b/>
      <sz val="8"/>
      <name val="Arial"/>
      <family val="2"/>
    </font>
    <font>
      <sz val="1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8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E1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34">
    <xf numFmtId="0" fontId="0" fillId="0" borderId="0" xfId="0"/>
    <xf numFmtId="0" fontId="4" fillId="0" borderId="0" xfId="0" applyFont="1" applyProtection="1">
      <protection hidden="1"/>
    </xf>
    <xf numFmtId="168" fontId="0" fillId="0" borderId="0" xfId="3" applyNumberFormat="1" applyFont="1" applyProtection="1"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7" fillId="6" borderId="19" xfId="0" applyFont="1" applyFill="1" applyBorder="1" applyAlignment="1" applyProtection="1">
      <alignment horizontal="left" vertical="center" wrapText="1"/>
      <protection hidden="1"/>
    </xf>
    <xf numFmtId="170" fontId="0" fillId="0" borderId="0" xfId="4" applyNumberFormat="1" applyFont="1" applyAlignment="1" applyProtection="1">
      <alignment horizontal="left" vertical="center"/>
      <protection hidden="1"/>
    </xf>
    <xf numFmtId="170" fontId="0" fillId="0" borderId="0" xfId="4" applyNumberFormat="1" applyFont="1" applyProtection="1">
      <protection hidden="1"/>
    </xf>
    <xf numFmtId="0" fontId="4" fillId="0" borderId="0" xfId="0" applyFont="1" applyAlignment="1" applyProtection="1">
      <alignment horizontal="left"/>
      <protection hidden="1"/>
    </xf>
    <xf numFmtId="168" fontId="7" fillId="6" borderId="20" xfId="3" applyNumberFormat="1" applyFont="1" applyFill="1" applyBorder="1" applyAlignment="1" applyProtection="1">
      <alignment horizontal="left" vertical="center" wrapText="1"/>
      <protection hidden="1"/>
    </xf>
    <xf numFmtId="170" fontId="0" fillId="7" borderId="0" xfId="4" applyNumberFormat="1" applyFont="1" applyFill="1" applyAlignment="1" applyProtection="1">
      <alignment horizontal="left" vertical="center"/>
      <protection hidden="1"/>
    </xf>
    <xf numFmtId="170" fontId="0" fillId="0" borderId="19" xfId="4" applyNumberFormat="1" applyFont="1" applyBorder="1" applyAlignment="1" applyProtection="1">
      <alignment horizontal="left" vertical="center"/>
      <protection hidden="1"/>
    </xf>
    <xf numFmtId="170" fontId="0" fillId="0" borderId="19" xfId="4" applyNumberFormat="1" applyFont="1" applyBorder="1" applyAlignment="1" applyProtection="1">
      <alignment horizontal="center" vertical="center"/>
      <protection hidden="1"/>
    </xf>
    <xf numFmtId="0" fontId="0" fillId="0" borderId="19" xfId="0" applyBorder="1" applyProtection="1">
      <protection hidden="1"/>
    </xf>
    <xf numFmtId="0" fontId="0" fillId="8" borderId="0" xfId="0" applyFill="1" applyProtection="1">
      <protection hidden="1"/>
    </xf>
    <xf numFmtId="0" fontId="0" fillId="7" borderId="0" xfId="0" applyFill="1" applyAlignment="1" applyProtection="1">
      <alignment horizontal="left" vertical="center"/>
      <protection hidden="1"/>
    </xf>
    <xf numFmtId="0" fontId="7" fillId="6" borderId="21" xfId="0" applyFont="1" applyFill="1" applyBorder="1" applyAlignment="1" applyProtection="1">
      <alignment horizontal="left" vertical="center" wrapText="1"/>
      <protection hidden="1"/>
    </xf>
    <xf numFmtId="171" fontId="8" fillId="9" borderId="5" xfId="0" applyNumberFormat="1" applyFont="1" applyFill="1" applyBorder="1" applyAlignment="1" applyProtection="1">
      <alignment horizontal="center" vertical="center"/>
      <protection hidden="1"/>
    </xf>
    <xf numFmtId="171" fontId="8" fillId="9" borderId="22" xfId="0" applyNumberFormat="1" applyFont="1" applyFill="1" applyBorder="1" applyAlignment="1" applyProtection="1">
      <alignment horizontal="center" vertical="center"/>
      <protection hidden="1"/>
    </xf>
    <xf numFmtId="171" fontId="8" fillId="9" borderId="2" xfId="0" applyNumberFormat="1" applyFont="1" applyFill="1" applyBorder="1" applyAlignment="1" applyProtection="1">
      <alignment horizontal="center" vertical="center"/>
      <protection hidden="1"/>
    </xf>
    <xf numFmtId="171" fontId="8" fillId="9" borderId="23" xfId="0" applyNumberFormat="1" applyFont="1" applyFill="1" applyBorder="1" applyAlignment="1" applyProtection="1">
      <alignment horizontal="center" vertical="center"/>
      <protection hidden="1"/>
    </xf>
    <xf numFmtId="3" fontId="0" fillId="0" borderId="0" xfId="0" applyNumberFormat="1"/>
    <xf numFmtId="0" fontId="0" fillId="0" borderId="0" xfId="0" applyAlignment="1">
      <alignment horizontal="left"/>
    </xf>
    <xf numFmtId="172" fontId="2" fillId="11" borderId="24" xfId="2" applyNumberFormat="1" applyFont="1" applyFill="1" applyBorder="1" applyAlignment="1">
      <alignment horizontal="center" vertical="center"/>
    </xf>
    <xf numFmtId="4" fontId="4" fillId="12" borderId="25" xfId="0" applyNumberFormat="1" applyFont="1" applyFill="1" applyBorder="1" applyAlignment="1" applyProtection="1">
      <alignment horizontal="center" vertical="center"/>
      <protection hidden="1"/>
    </xf>
    <xf numFmtId="4" fontId="4" fillId="13" borderId="25" xfId="0" applyNumberFormat="1" applyFont="1" applyFill="1" applyBorder="1" applyAlignment="1" applyProtection="1">
      <alignment horizontal="center" vertical="center"/>
      <protection hidden="1"/>
    </xf>
    <xf numFmtId="4" fontId="4" fillId="14" borderId="25" xfId="0" applyNumberFormat="1" applyFont="1" applyFill="1" applyBorder="1" applyAlignment="1" applyProtection="1">
      <alignment horizontal="center" vertical="center"/>
      <protection hidden="1"/>
    </xf>
    <xf numFmtId="4" fontId="4" fillId="15" borderId="25" xfId="0" applyNumberFormat="1" applyFont="1" applyFill="1" applyBorder="1" applyAlignment="1" applyProtection="1">
      <alignment horizontal="center" vertical="center"/>
      <protection hidden="1"/>
    </xf>
    <xf numFmtId="4" fontId="4" fillId="16" borderId="25" xfId="0" applyNumberFormat="1" applyFont="1" applyFill="1" applyBorder="1" applyAlignment="1" applyProtection="1">
      <alignment horizontal="center" vertical="center"/>
      <protection hidden="1"/>
    </xf>
    <xf numFmtId="4" fontId="4" fillId="17" borderId="25" xfId="0" applyNumberFormat="1" applyFont="1" applyFill="1" applyBorder="1" applyAlignment="1" applyProtection="1">
      <alignment horizontal="center" vertical="center"/>
      <protection hidden="1"/>
    </xf>
    <xf numFmtId="4" fontId="4" fillId="18" borderId="25" xfId="0" applyNumberFormat="1" applyFont="1" applyFill="1" applyBorder="1" applyAlignment="1" applyProtection="1">
      <alignment horizontal="center" vertical="center"/>
      <protection hidden="1"/>
    </xf>
    <xf numFmtId="4" fontId="4" fillId="19" borderId="25" xfId="0" applyNumberFormat="1" applyFont="1" applyFill="1" applyBorder="1" applyAlignment="1" applyProtection="1">
      <alignment horizontal="center" vertical="center"/>
      <protection hidden="1"/>
    </xf>
    <xf numFmtId="4" fontId="4" fillId="20" borderId="25" xfId="0" applyNumberFormat="1" applyFont="1" applyFill="1" applyBorder="1" applyAlignment="1" applyProtection="1">
      <alignment horizontal="center" vertical="center"/>
      <protection hidden="1"/>
    </xf>
    <xf numFmtId="4" fontId="4" fillId="21" borderId="25" xfId="0" applyNumberFormat="1" applyFont="1" applyFill="1" applyBorder="1" applyAlignment="1" applyProtection="1">
      <alignment horizontal="center" vertical="center"/>
      <protection hidden="1"/>
    </xf>
    <xf numFmtId="4" fontId="4" fillId="22" borderId="25" xfId="0" applyNumberFormat="1" applyFont="1" applyFill="1" applyBorder="1" applyAlignment="1" applyProtection="1">
      <alignment horizontal="center" vertical="center"/>
      <protection hidden="1"/>
    </xf>
    <xf numFmtId="4" fontId="4" fillId="23" borderId="25" xfId="0" applyNumberFormat="1" applyFont="1" applyFill="1" applyBorder="1" applyAlignment="1" applyProtection="1">
      <alignment horizontal="center" vertical="center"/>
      <protection hidden="1"/>
    </xf>
    <xf numFmtId="3" fontId="0" fillId="0" borderId="0" xfId="0" applyNumberFormat="1" applyProtection="1">
      <protection hidden="1"/>
    </xf>
    <xf numFmtId="3" fontId="5" fillId="0" borderId="0" xfId="0" applyNumberFormat="1" applyFont="1" applyAlignment="1" applyProtection="1">
      <alignment horizontal="center" vertical="center"/>
      <protection hidden="1"/>
    </xf>
    <xf numFmtId="0" fontId="11" fillId="25" borderId="26" xfId="0" applyFont="1" applyFill="1" applyBorder="1" applyAlignment="1" applyProtection="1">
      <alignment horizontal="center" vertical="center" wrapText="1"/>
      <protection hidden="1"/>
    </xf>
    <xf numFmtId="3" fontId="11" fillId="25" borderId="27" xfId="0" applyNumberFormat="1" applyFont="1" applyFill="1" applyBorder="1" applyAlignment="1" applyProtection="1">
      <alignment horizontal="center" vertical="center" wrapText="1"/>
      <protection hidden="1"/>
    </xf>
    <xf numFmtId="171" fontId="12" fillId="26" borderId="5" xfId="0" applyNumberFormat="1" applyFont="1" applyFill="1" applyBorder="1" applyAlignment="1" applyProtection="1">
      <alignment horizontal="center" vertical="center"/>
      <protection hidden="1"/>
    </xf>
    <xf numFmtId="171" fontId="12" fillId="27" borderId="7" xfId="0" applyNumberFormat="1" applyFont="1" applyFill="1" applyBorder="1" applyAlignment="1" applyProtection="1">
      <alignment horizontal="center" vertical="center"/>
      <protection hidden="1"/>
    </xf>
    <xf numFmtId="171" fontId="12" fillId="27" borderId="6" xfId="0" applyNumberFormat="1" applyFont="1" applyFill="1" applyBorder="1" applyAlignment="1" applyProtection="1">
      <alignment horizontal="center" vertical="center"/>
      <protection hidden="1"/>
    </xf>
    <xf numFmtId="4" fontId="4" fillId="0" borderId="0" xfId="0" applyNumberFormat="1" applyFont="1" applyAlignment="1" applyProtection="1">
      <alignment horizontal="center" vertical="center"/>
      <protection hidden="1"/>
    </xf>
    <xf numFmtId="171" fontId="12" fillId="26" borderId="1" xfId="0" applyNumberFormat="1" applyFont="1" applyFill="1" applyBorder="1" applyAlignment="1" applyProtection="1">
      <alignment horizontal="center" vertical="center"/>
      <protection hidden="1"/>
    </xf>
    <xf numFmtId="171" fontId="12" fillId="26" borderId="2" xfId="0" applyNumberFormat="1" applyFont="1" applyFill="1" applyBorder="1" applyAlignment="1" applyProtection="1">
      <alignment horizontal="center" vertical="center"/>
      <protection hidden="1"/>
    </xf>
    <xf numFmtId="171" fontId="12" fillId="27" borderId="5" xfId="0" applyNumberFormat="1" applyFont="1" applyFill="1" applyBorder="1" applyAlignment="1" applyProtection="1">
      <alignment horizontal="center" vertical="center"/>
      <protection hidden="1"/>
    </xf>
    <xf numFmtId="171" fontId="12" fillId="27" borderId="1" xfId="0" applyNumberFormat="1" applyFont="1" applyFill="1" applyBorder="1" applyAlignment="1" applyProtection="1">
      <alignment horizontal="center" vertical="center"/>
      <protection hidden="1"/>
    </xf>
    <xf numFmtId="171" fontId="12" fillId="26" borderId="11" xfId="0" applyNumberFormat="1" applyFont="1" applyFill="1" applyBorder="1" applyAlignment="1" applyProtection="1">
      <alignment horizontal="center" vertical="center"/>
      <protection hidden="1"/>
    </xf>
    <xf numFmtId="171" fontId="12" fillId="26" borderId="8" xfId="0" applyNumberFormat="1" applyFont="1" applyFill="1" applyBorder="1" applyAlignment="1" applyProtection="1">
      <alignment horizontal="center" vertical="center"/>
      <protection hidden="1"/>
    </xf>
    <xf numFmtId="170" fontId="0" fillId="0" borderId="0" xfId="4" applyNumberFormat="1" applyFont="1"/>
    <xf numFmtId="0" fontId="0" fillId="8" borderId="0" xfId="0" applyFill="1"/>
    <xf numFmtId="173" fontId="0" fillId="0" borderId="0" xfId="4" applyNumberFormat="1" applyFont="1"/>
    <xf numFmtId="0" fontId="4" fillId="28" borderId="5" xfId="0" applyFont="1" applyFill="1" applyBorder="1" applyAlignment="1">
      <alignment horizontal="center" vertical="center"/>
    </xf>
    <xf numFmtId="0" fontId="4" fillId="29" borderId="6" xfId="0" applyFont="1" applyFill="1" applyBorder="1" applyAlignment="1">
      <alignment horizontal="center" vertical="center"/>
    </xf>
    <xf numFmtId="0" fontId="4" fillId="29" borderId="6" xfId="0" applyFont="1" applyFill="1" applyBorder="1" applyAlignment="1">
      <alignment horizontal="center" vertical="center" wrapText="1"/>
    </xf>
    <xf numFmtId="0" fontId="4" fillId="29" borderId="26" xfId="0" applyFont="1" applyFill="1" applyBorder="1" applyAlignment="1">
      <alignment horizontal="center" vertical="center"/>
    </xf>
    <xf numFmtId="0" fontId="2" fillId="30" borderId="26" xfId="0" applyFont="1" applyFill="1" applyBorder="1" applyAlignment="1">
      <alignment horizontal="center" vertical="center"/>
    </xf>
    <xf numFmtId="0" fontId="4" fillId="28" borderId="28" xfId="0" applyFont="1" applyFill="1" applyBorder="1" applyAlignment="1">
      <alignment horizontal="center" vertical="center"/>
    </xf>
    <xf numFmtId="171" fontId="0" fillId="0" borderId="19" xfId="3" applyNumberFormat="1" applyFont="1" applyBorder="1" applyAlignment="1">
      <alignment horizontal="center" vertical="center"/>
    </xf>
    <xf numFmtId="3" fontId="0" fillId="31" borderId="24" xfId="5" applyNumberFormat="1" applyFont="1" applyFill="1" applyBorder="1" applyAlignment="1">
      <alignment horizontal="center" vertical="center"/>
    </xf>
    <xf numFmtId="171" fontId="4" fillId="10" borderId="24" xfId="4" applyNumberFormat="1" applyFont="1" applyFill="1" applyBorder="1" applyAlignment="1">
      <alignment horizontal="center" vertical="center"/>
    </xf>
    <xf numFmtId="171" fontId="4" fillId="10" borderId="29" xfId="0" applyNumberFormat="1" applyFont="1" applyFill="1" applyBorder="1" applyAlignment="1">
      <alignment horizontal="center" vertical="center"/>
    </xf>
    <xf numFmtId="171" fontId="1" fillId="0" borderId="19" xfId="3" applyNumberFormat="1" applyFont="1" applyFill="1" applyBorder="1" applyAlignment="1">
      <alignment horizontal="center" vertical="center"/>
    </xf>
    <xf numFmtId="171" fontId="0" fillId="0" borderId="19" xfId="3" applyNumberFormat="1" applyFont="1" applyFill="1" applyBorder="1" applyAlignment="1" applyProtection="1">
      <alignment horizontal="center" vertical="center"/>
      <protection locked="0" hidden="1"/>
    </xf>
    <xf numFmtId="3" fontId="0" fillId="31" borderId="19" xfId="5" applyNumberFormat="1" applyFont="1" applyFill="1" applyBorder="1" applyAlignment="1">
      <alignment horizontal="center" vertical="center"/>
    </xf>
    <xf numFmtId="171" fontId="4" fillId="10" borderId="19" xfId="4" applyNumberFormat="1" applyFont="1" applyFill="1" applyBorder="1" applyAlignment="1">
      <alignment horizontal="center" vertical="center"/>
    </xf>
    <xf numFmtId="171" fontId="4" fillId="10" borderId="30" xfId="0" applyNumberFormat="1" applyFont="1" applyFill="1" applyBorder="1" applyAlignment="1">
      <alignment horizontal="center" vertical="center"/>
    </xf>
    <xf numFmtId="0" fontId="4" fillId="28" borderId="11" xfId="0" applyFont="1" applyFill="1" applyBorder="1" applyAlignment="1">
      <alignment horizontal="center" vertical="center"/>
    </xf>
    <xf numFmtId="171" fontId="0" fillId="0" borderId="12" xfId="3" applyNumberFormat="1" applyFont="1" applyBorder="1" applyAlignment="1">
      <alignment horizontal="center" vertical="center"/>
    </xf>
    <xf numFmtId="3" fontId="0" fillId="31" borderId="12" xfId="5" applyNumberFormat="1" applyFont="1" applyFill="1" applyBorder="1" applyAlignment="1">
      <alignment horizontal="center" vertical="center"/>
    </xf>
    <xf numFmtId="171" fontId="4" fillId="10" borderId="12" xfId="4" applyNumberFormat="1" applyFont="1" applyFill="1" applyBorder="1" applyAlignment="1">
      <alignment horizontal="center" vertical="center"/>
    </xf>
    <xf numFmtId="171" fontId="4" fillId="10" borderId="13" xfId="0" applyNumberFormat="1" applyFont="1" applyFill="1" applyBorder="1" applyAlignment="1">
      <alignment horizontal="center" vertical="center"/>
    </xf>
    <xf numFmtId="3" fontId="6" fillId="3" borderId="5" xfId="0" applyNumberFormat="1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vertical="center"/>
      <protection locked="0"/>
    </xf>
    <xf numFmtId="0" fontId="6" fillId="5" borderId="23" xfId="0" applyFont="1" applyFill="1" applyBorder="1" applyAlignment="1" applyProtection="1">
      <alignment horizontal="center" vertical="center" wrapText="1"/>
      <protection hidden="1"/>
    </xf>
    <xf numFmtId="3" fontId="6" fillId="0" borderId="0" xfId="0" applyNumberFormat="1" applyFont="1" applyAlignment="1" applyProtection="1">
      <alignment vertical="center" wrapText="1"/>
      <protection locked="0"/>
    </xf>
    <xf numFmtId="0" fontId="6" fillId="0" borderId="19" xfId="0" applyFont="1" applyBorder="1" applyAlignment="1" applyProtection="1">
      <alignment horizontal="center" vertical="center" wrapText="1"/>
      <protection hidden="1"/>
    </xf>
    <xf numFmtId="166" fontId="6" fillId="0" borderId="19" xfId="0" applyNumberFormat="1" applyFont="1" applyBorder="1" applyAlignment="1" applyProtection="1">
      <alignment horizontal="center" vertical="center" wrapText="1"/>
      <protection hidden="1"/>
    </xf>
    <xf numFmtId="3" fontId="6" fillId="3" borderId="19" xfId="0" applyNumberFormat="1" applyFont="1" applyFill="1" applyBorder="1" applyAlignment="1" applyProtection="1">
      <alignment horizontal="center" vertical="center" wrapText="1"/>
      <protection locked="0"/>
    </xf>
    <xf numFmtId="3" fontId="6" fillId="3" borderId="19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3" xfId="0" applyBorder="1"/>
    <xf numFmtId="0" fontId="0" fillId="0" borderId="4" xfId="0" applyBorder="1"/>
    <xf numFmtId="0" fontId="0" fillId="0" borderId="32" xfId="0" applyBorder="1"/>
    <xf numFmtId="0" fontId="0" fillId="0" borderId="33" xfId="0" applyBorder="1"/>
    <xf numFmtId="0" fontId="0" fillId="0" borderId="9" xfId="0" applyBorder="1"/>
    <xf numFmtId="0" fontId="0" fillId="0" borderId="10" xfId="0" applyBorder="1"/>
    <xf numFmtId="3" fontId="6" fillId="3" borderId="39" xfId="0" applyNumberFormat="1" applyFont="1" applyFill="1" applyBorder="1" applyAlignment="1" applyProtection="1">
      <alignment vertical="center" wrapText="1"/>
      <protection hidden="1"/>
    </xf>
    <xf numFmtId="0" fontId="6" fillId="3" borderId="23" xfId="0" applyFont="1" applyFill="1" applyBorder="1" applyAlignment="1" applyProtection="1">
      <alignment horizontal="center" vertical="center" wrapText="1"/>
      <protection hidden="1"/>
    </xf>
    <xf numFmtId="0" fontId="6" fillId="4" borderId="23" xfId="0" applyFont="1" applyFill="1" applyBorder="1" applyAlignment="1" applyProtection="1">
      <alignment horizontal="center" vertical="center" wrapText="1"/>
      <protection hidden="1"/>
    </xf>
    <xf numFmtId="168" fontId="0" fillId="0" borderId="0" xfId="1" applyNumberFormat="1" applyFont="1"/>
    <xf numFmtId="3" fontId="7" fillId="6" borderId="20" xfId="0" applyNumberFormat="1" applyFont="1" applyFill="1" applyBorder="1" applyAlignment="1" applyProtection="1">
      <alignment horizontal="left" vertical="center" wrapText="1"/>
      <protection hidden="1"/>
    </xf>
    <xf numFmtId="0" fontId="7" fillId="6" borderId="20" xfId="0" applyFont="1" applyFill="1" applyBorder="1" applyAlignment="1" applyProtection="1">
      <alignment horizontal="left" vertical="center" wrapText="1"/>
      <protection hidden="1"/>
    </xf>
    <xf numFmtId="168" fontId="11" fillId="33" borderId="19" xfId="3" applyNumberFormat="1" applyFont="1" applyFill="1" applyBorder="1" applyAlignment="1">
      <alignment horizontal="right" vertical="center" wrapText="1"/>
    </xf>
    <xf numFmtId="168" fontId="11" fillId="33" borderId="19" xfId="3" applyNumberFormat="1" applyFont="1" applyFill="1" applyBorder="1" applyAlignment="1">
      <alignment vertical="center" wrapText="1"/>
    </xf>
    <xf numFmtId="0" fontId="11" fillId="25" borderId="43" xfId="0" applyFont="1" applyFill="1" applyBorder="1" applyAlignment="1">
      <alignment horizontal="left" vertical="center"/>
    </xf>
    <xf numFmtId="0" fontId="11" fillId="25" borderId="44" xfId="0" applyFont="1" applyFill="1" applyBorder="1" applyAlignment="1">
      <alignment horizontal="left" vertical="center"/>
    </xf>
    <xf numFmtId="168" fontId="11" fillId="34" borderId="44" xfId="3" applyNumberFormat="1" applyFont="1" applyFill="1" applyBorder="1" applyAlignment="1">
      <alignment vertical="center" wrapText="1"/>
    </xf>
    <xf numFmtId="168" fontId="11" fillId="34" borderId="34" xfId="3" applyNumberFormat="1" applyFont="1" applyFill="1" applyBorder="1" applyAlignment="1">
      <alignment vertical="center" wrapText="1"/>
    </xf>
    <xf numFmtId="0" fontId="11" fillId="25" borderId="45" xfId="0" applyFont="1" applyFill="1" applyBorder="1" applyAlignment="1">
      <alignment horizontal="left" vertical="center"/>
    </xf>
    <xf numFmtId="0" fontId="11" fillId="25" borderId="46" xfId="0" applyFont="1" applyFill="1" applyBorder="1" applyAlignment="1">
      <alignment horizontal="left" vertical="center"/>
    </xf>
    <xf numFmtId="0" fontId="11" fillId="25" borderId="22" xfId="0" applyFont="1" applyFill="1" applyBorder="1" applyAlignment="1">
      <alignment vertical="center"/>
    </xf>
    <xf numFmtId="0" fontId="11" fillId="25" borderId="40" xfId="0" applyFont="1" applyFill="1" applyBorder="1" applyAlignment="1">
      <alignment horizontal="center" vertical="center"/>
    </xf>
    <xf numFmtId="0" fontId="11" fillId="25" borderId="36" xfId="0" applyFont="1" applyFill="1" applyBorder="1" applyAlignment="1">
      <alignment horizontal="center" vertical="center"/>
    </xf>
    <xf numFmtId="168" fontId="0" fillId="26" borderId="19" xfId="3" applyNumberFormat="1" applyFont="1" applyFill="1" applyBorder="1"/>
    <xf numFmtId="0" fontId="14" fillId="4" borderId="22" xfId="0" applyFont="1" applyFill="1" applyBorder="1" applyAlignment="1">
      <alignment vertical="center"/>
    </xf>
    <xf numFmtId="0" fontId="14" fillId="4" borderId="36" xfId="0" applyFont="1" applyFill="1" applyBorder="1" applyAlignment="1">
      <alignment horizontal="center" vertical="center"/>
    </xf>
    <xf numFmtId="168" fontId="0" fillId="12" borderId="19" xfId="3" applyNumberFormat="1" applyFont="1" applyFill="1" applyBorder="1"/>
    <xf numFmtId="0" fontId="14" fillId="4" borderId="47" xfId="0" applyFont="1" applyFill="1" applyBorder="1" applyAlignment="1">
      <alignment vertical="center"/>
    </xf>
    <xf numFmtId="0" fontId="14" fillId="4" borderId="41" xfId="0" applyFont="1" applyFill="1" applyBorder="1" applyAlignment="1">
      <alignment horizontal="center" vertical="center"/>
    </xf>
    <xf numFmtId="0" fontId="11" fillId="25" borderId="47" xfId="0" applyFont="1" applyFill="1" applyBorder="1" applyAlignment="1">
      <alignment vertical="center"/>
    </xf>
    <xf numFmtId="0" fontId="11" fillId="25" borderId="41" xfId="0" applyFont="1" applyFill="1" applyBorder="1" applyAlignment="1">
      <alignment horizontal="center" vertical="center"/>
    </xf>
    <xf numFmtId="0" fontId="11" fillId="25" borderId="35" xfId="0" applyFont="1" applyFill="1" applyBorder="1" applyAlignment="1">
      <alignment vertical="center"/>
    </xf>
    <xf numFmtId="0" fontId="11" fillId="25" borderId="37" xfId="0" applyFont="1" applyFill="1" applyBorder="1" applyAlignment="1">
      <alignment horizontal="center" vertical="center"/>
    </xf>
    <xf numFmtId="0" fontId="14" fillId="4" borderId="40" xfId="0" applyFont="1" applyFill="1" applyBorder="1" applyAlignment="1">
      <alignment horizontal="center" vertical="center"/>
    </xf>
    <xf numFmtId="0" fontId="14" fillId="4" borderId="35" xfId="0" applyFont="1" applyFill="1" applyBorder="1" applyAlignment="1">
      <alignment vertical="center"/>
    </xf>
    <xf numFmtId="0" fontId="14" fillId="4" borderId="37" xfId="0" applyFont="1" applyFill="1" applyBorder="1" applyAlignment="1">
      <alignment horizontal="center" vertical="center"/>
    </xf>
    <xf numFmtId="9" fontId="0" fillId="0" borderId="0" xfId="2" applyFont="1" applyProtection="1">
      <protection hidden="1"/>
    </xf>
    <xf numFmtId="168" fontId="0" fillId="0" borderId="0" xfId="0" applyNumberFormat="1" applyProtection="1">
      <protection hidden="1"/>
    </xf>
    <xf numFmtId="0" fontId="0" fillId="7" borderId="0" xfId="0" applyFill="1"/>
    <xf numFmtId="0" fontId="0" fillId="0" borderId="0" xfId="0" applyAlignment="1">
      <alignment horizontal="center" vertical="center"/>
    </xf>
    <xf numFmtId="0" fontId="4" fillId="29" borderId="6" xfId="0" applyFont="1" applyFill="1" applyBorder="1" applyAlignment="1" applyProtection="1">
      <alignment horizontal="center" vertical="center"/>
      <protection hidden="1"/>
    </xf>
    <xf numFmtId="0" fontId="4" fillId="29" borderId="6" xfId="0" applyFont="1" applyFill="1" applyBorder="1" applyAlignment="1" applyProtection="1">
      <alignment horizontal="center" vertical="center" wrapText="1"/>
      <protection hidden="1"/>
    </xf>
    <xf numFmtId="0" fontId="4" fillId="3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23" borderId="6" xfId="0" applyFont="1" applyFill="1" applyBorder="1" applyAlignment="1" applyProtection="1">
      <alignment horizontal="center" vertical="center" wrapText="1"/>
      <protection hidden="1"/>
    </xf>
    <xf numFmtId="0" fontId="4" fillId="23" borderId="7" xfId="0" applyFont="1" applyFill="1" applyBorder="1" applyAlignment="1" applyProtection="1">
      <alignment horizontal="center" vertical="center" wrapText="1"/>
      <protection hidden="1"/>
    </xf>
    <xf numFmtId="171" fontId="1" fillId="0" borderId="19" xfId="3" applyNumberFormat="1" applyFont="1" applyFill="1" applyBorder="1" applyAlignment="1" applyProtection="1">
      <alignment horizontal="center" vertical="center"/>
      <protection locked="0" hidden="1"/>
    </xf>
    <xf numFmtId="171" fontId="1" fillId="0" borderId="19" xfId="3" applyNumberFormat="1" applyFont="1" applyFill="1" applyBorder="1" applyAlignment="1" applyProtection="1">
      <alignment horizontal="center" vertical="center" wrapText="1"/>
      <protection locked="0" hidden="1"/>
    </xf>
    <xf numFmtId="3" fontId="0" fillId="31" borderId="19" xfId="5" applyNumberFormat="1" applyFont="1" applyFill="1" applyBorder="1" applyAlignment="1" applyProtection="1">
      <alignment horizontal="center" vertical="center"/>
      <protection hidden="1"/>
    </xf>
    <xf numFmtId="3" fontId="3" fillId="0" borderId="19" xfId="0" applyNumberFormat="1" applyFont="1" applyBorder="1" applyAlignment="1">
      <alignment horizontal="center" vertical="center"/>
    </xf>
    <xf numFmtId="3" fontId="0" fillId="0" borderId="19" xfId="0" applyNumberFormat="1" applyBorder="1" applyAlignment="1">
      <alignment horizontal="center" vertical="center"/>
    </xf>
    <xf numFmtId="3" fontId="0" fillId="31" borderId="30" xfId="5" applyNumberFormat="1" applyFont="1" applyFill="1" applyBorder="1" applyAlignment="1" applyProtection="1">
      <alignment horizontal="center" vertical="center"/>
      <protection hidden="1"/>
    </xf>
    <xf numFmtId="171" fontId="15" fillId="0" borderId="19" xfId="3" applyNumberFormat="1" applyFont="1" applyFill="1" applyBorder="1" applyAlignment="1" applyProtection="1">
      <alignment horizontal="center" vertical="center"/>
      <protection locked="0" hidden="1"/>
    </xf>
    <xf numFmtId="171" fontId="0" fillId="0" borderId="12" xfId="3" applyNumberFormat="1" applyFont="1" applyFill="1" applyBorder="1" applyAlignment="1" applyProtection="1">
      <alignment horizontal="center" vertical="center"/>
      <protection locked="0" hidden="1"/>
    </xf>
    <xf numFmtId="171" fontId="1" fillId="0" borderId="12" xfId="3" applyNumberFormat="1" applyFont="1" applyFill="1" applyBorder="1" applyAlignment="1" applyProtection="1">
      <alignment horizontal="center" vertical="center" wrapText="1"/>
      <protection locked="0" hidden="1"/>
    </xf>
    <xf numFmtId="171" fontId="15" fillId="0" borderId="12" xfId="3" applyNumberFormat="1" applyFont="1" applyFill="1" applyBorder="1" applyAlignment="1" applyProtection="1">
      <alignment horizontal="center" vertical="center"/>
      <protection locked="0" hidden="1"/>
    </xf>
    <xf numFmtId="3" fontId="0" fillId="31" borderId="12" xfId="5" applyNumberFormat="1" applyFont="1" applyFill="1" applyBorder="1" applyAlignment="1" applyProtection="1">
      <alignment horizontal="center" vertical="center"/>
      <protection hidden="1"/>
    </xf>
    <xf numFmtId="3" fontId="3" fillId="0" borderId="12" xfId="0" applyNumberFormat="1" applyFon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3" fontId="0" fillId="31" borderId="13" xfId="5" applyNumberFormat="1" applyFont="1" applyFill="1" applyBorder="1" applyAlignment="1" applyProtection="1">
      <alignment horizontal="center" vertical="center"/>
      <protection hidden="1"/>
    </xf>
    <xf numFmtId="171" fontId="0" fillId="0" borderId="0" xfId="3" applyNumberFormat="1" applyFont="1" applyFill="1" applyBorder="1" applyAlignment="1" applyProtection="1">
      <alignment horizontal="center" vertical="center"/>
      <protection locked="0" hidden="1"/>
    </xf>
    <xf numFmtId="171" fontId="1" fillId="0" borderId="0" xfId="3" applyNumberFormat="1" applyFont="1" applyFill="1" applyBorder="1" applyAlignment="1" applyProtection="1">
      <alignment horizontal="center" vertical="center" wrapText="1"/>
      <protection locked="0" hidden="1"/>
    </xf>
    <xf numFmtId="171" fontId="15" fillId="0" borderId="0" xfId="3" applyNumberFormat="1" applyFont="1" applyFill="1" applyBorder="1" applyAlignment="1" applyProtection="1">
      <alignment horizontal="center" vertical="center"/>
      <protection locked="0" hidden="1"/>
    </xf>
    <xf numFmtId="0" fontId="4" fillId="29" borderId="43" xfId="0" applyFont="1" applyFill="1" applyBorder="1" applyAlignment="1" applyProtection="1">
      <alignment horizontal="center" vertical="center"/>
      <protection hidden="1"/>
    </xf>
    <xf numFmtId="0" fontId="4" fillId="29" borderId="43" xfId="0" applyFont="1" applyFill="1" applyBorder="1" applyAlignment="1" applyProtection="1">
      <alignment horizontal="center" vertical="center" wrapText="1"/>
      <protection hidden="1"/>
    </xf>
    <xf numFmtId="0" fontId="4" fillId="35" borderId="45" xfId="0" applyFont="1" applyFill="1" applyBorder="1" applyAlignment="1" applyProtection="1">
      <alignment horizontal="center" vertical="center" wrapText="1"/>
      <protection hidden="1"/>
    </xf>
    <xf numFmtId="0" fontId="4" fillId="35" borderId="25" xfId="0" applyFont="1" applyFill="1" applyBorder="1" applyAlignment="1" applyProtection="1">
      <alignment horizontal="center" vertical="center" wrapText="1"/>
      <protection hidden="1"/>
    </xf>
    <xf numFmtId="0" fontId="4" fillId="5" borderId="45" xfId="0" applyFont="1" applyFill="1" applyBorder="1" applyAlignment="1" applyProtection="1">
      <alignment horizontal="center" vertical="center" wrapText="1"/>
      <protection hidden="1"/>
    </xf>
    <xf numFmtId="0" fontId="4" fillId="5" borderId="25" xfId="0" applyFont="1" applyFill="1" applyBorder="1" applyAlignment="1" applyProtection="1">
      <alignment horizontal="center" vertical="center" wrapText="1"/>
      <protection hidden="1"/>
    </xf>
    <xf numFmtId="0" fontId="4" fillId="23" borderId="45" xfId="0" applyFont="1" applyFill="1" applyBorder="1" applyAlignment="1" applyProtection="1">
      <alignment horizontal="center" vertical="center" wrapText="1"/>
      <protection hidden="1"/>
    </xf>
    <xf numFmtId="0" fontId="4" fillId="23" borderId="25" xfId="0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Alignment="1">
      <alignment horizontal="center" vertical="center"/>
    </xf>
    <xf numFmtId="3" fontId="0" fillId="0" borderId="0" xfId="5" applyNumberFormat="1" applyFont="1" applyFill="1" applyBorder="1" applyAlignment="1" applyProtection="1">
      <alignment horizontal="center" vertical="center"/>
      <protection hidden="1"/>
    </xf>
    <xf numFmtId="3" fontId="0" fillId="0" borderId="0" xfId="0" applyNumberFormat="1" applyAlignment="1">
      <alignment horizontal="center" vertical="center"/>
    </xf>
    <xf numFmtId="0" fontId="0" fillId="36" borderId="17" xfId="0" applyFill="1" applyBorder="1" applyAlignment="1">
      <alignment horizontal="center" vertical="center"/>
    </xf>
    <xf numFmtId="0" fontId="4" fillId="32" borderId="5" xfId="0" applyFont="1" applyFill="1" applyBorder="1" applyAlignment="1" applyProtection="1">
      <alignment horizontal="center" vertical="center"/>
      <protection hidden="1"/>
    </xf>
    <xf numFmtId="9" fontId="4" fillId="32" borderId="6" xfId="2" applyFont="1" applyFill="1" applyBorder="1" applyAlignment="1" applyProtection="1">
      <alignment horizontal="center" vertical="center"/>
      <protection hidden="1"/>
    </xf>
    <xf numFmtId="0" fontId="4" fillId="29" borderId="19" xfId="0" applyFont="1" applyFill="1" applyBorder="1" applyAlignment="1" applyProtection="1">
      <alignment horizontal="center" vertical="center"/>
      <protection hidden="1"/>
    </xf>
    <xf numFmtId="0" fontId="4" fillId="29" borderId="19" xfId="0" applyFont="1" applyFill="1" applyBorder="1" applyAlignment="1" applyProtection="1">
      <alignment horizontal="center" vertical="center" wrapText="1"/>
      <protection hidden="1"/>
    </xf>
    <xf numFmtId="9" fontId="0" fillId="0" borderId="0" xfId="2" applyFont="1"/>
    <xf numFmtId="0" fontId="18" fillId="0" borderId="0" xfId="0" applyFont="1"/>
    <xf numFmtId="0" fontId="3" fillId="0" borderId="0" xfId="0" applyFont="1"/>
    <xf numFmtId="0" fontId="16" fillId="28" borderId="28" xfId="0" applyFont="1" applyFill="1" applyBorder="1" applyAlignment="1">
      <alignment horizontal="center" vertical="center"/>
    </xf>
    <xf numFmtId="0" fontId="16" fillId="29" borderId="19" xfId="0" applyFont="1" applyFill="1" applyBorder="1" applyAlignment="1" applyProtection="1">
      <alignment horizontal="center" vertical="center"/>
      <protection hidden="1"/>
    </xf>
    <xf numFmtId="0" fontId="16" fillId="29" borderId="19" xfId="0" applyFont="1" applyFill="1" applyBorder="1" applyAlignment="1" applyProtection="1">
      <alignment horizontal="center" vertical="center" wrapText="1"/>
      <protection hidden="1"/>
    </xf>
    <xf numFmtId="0" fontId="17" fillId="28" borderId="28" xfId="0" applyFont="1" applyFill="1" applyBorder="1" applyAlignment="1">
      <alignment horizontal="center" vertical="center"/>
    </xf>
    <xf numFmtId="0" fontId="17" fillId="29" borderId="19" xfId="0" applyFont="1" applyFill="1" applyBorder="1" applyAlignment="1" applyProtection="1">
      <alignment horizontal="center" vertical="center"/>
      <protection hidden="1"/>
    </xf>
    <xf numFmtId="0" fontId="17" fillId="29" borderId="19" xfId="0" applyFont="1" applyFill="1" applyBorder="1" applyAlignment="1" applyProtection="1">
      <alignment horizontal="center" vertical="center" wrapText="1"/>
      <protection hidden="1"/>
    </xf>
    <xf numFmtId="171" fontId="18" fillId="0" borderId="19" xfId="3" applyNumberFormat="1" applyFont="1" applyFill="1" applyBorder="1" applyAlignment="1" applyProtection="1">
      <alignment horizontal="center" vertical="center"/>
      <protection locked="0" hidden="1"/>
    </xf>
    <xf numFmtId="171" fontId="18" fillId="0" borderId="19" xfId="3" applyNumberFormat="1" applyFont="1" applyFill="1" applyBorder="1" applyAlignment="1" applyProtection="1">
      <alignment horizontal="center" vertical="center" wrapText="1"/>
      <protection locked="0" hidden="1"/>
    </xf>
    <xf numFmtId="3" fontId="18" fillId="31" borderId="19" xfId="5" applyNumberFormat="1" applyFont="1" applyFill="1" applyBorder="1" applyAlignment="1" applyProtection="1">
      <alignment horizontal="center" vertical="center"/>
      <protection hidden="1"/>
    </xf>
    <xf numFmtId="171" fontId="3" fillId="0" borderId="19" xfId="3" applyNumberFormat="1" applyFont="1" applyFill="1" applyBorder="1" applyAlignment="1" applyProtection="1">
      <alignment horizontal="center" vertical="center"/>
      <protection locked="0" hidden="1"/>
    </xf>
    <xf numFmtId="171" fontId="3" fillId="0" borderId="19" xfId="3" applyNumberFormat="1" applyFont="1" applyFill="1" applyBorder="1" applyAlignment="1" applyProtection="1">
      <alignment horizontal="center" vertical="center" wrapText="1"/>
      <protection locked="0" hidden="1"/>
    </xf>
    <xf numFmtId="3" fontId="3" fillId="31" borderId="19" xfId="5" applyNumberFormat="1" applyFont="1" applyFill="1" applyBorder="1" applyAlignment="1" applyProtection="1">
      <alignment horizontal="center" vertical="center"/>
      <protection hidden="1"/>
    </xf>
    <xf numFmtId="171" fontId="18" fillId="0" borderId="0" xfId="3" applyNumberFormat="1" applyFont="1" applyFill="1" applyBorder="1" applyAlignment="1" applyProtection="1">
      <alignment horizontal="center" vertical="center"/>
      <protection locked="0" hidden="1"/>
    </xf>
    <xf numFmtId="171" fontId="18" fillId="0" borderId="0" xfId="3" applyNumberFormat="1" applyFont="1" applyFill="1" applyBorder="1" applyAlignment="1" applyProtection="1">
      <alignment horizontal="center" vertical="center" wrapText="1"/>
      <protection locked="0" hidden="1"/>
    </xf>
    <xf numFmtId="171" fontId="3" fillId="0" borderId="0" xfId="3" applyNumberFormat="1" applyFont="1" applyFill="1" applyBorder="1" applyAlignment="1" applyProtection="1">
      <alignment horizontal="center" vertical="center"/>
      <protection locked="0" hidden="1"/>
    </xf>
    <xf numFmtId="171" fontId="3" fillId="0" borderId="0" xfId="3" applyNumberFormat="1" applyFont="1" applyFill="1" applyBorder="1" applyAlignment="1" applyProtection="1">
      <alignment horizontal="center" vertical="center" wrapText="1"/>
      <protection locked="0" hidden="1"/>
    </xf>
    <xf numFmtId="0" fontId="18" fillId="36" borderId="17" xfId="0" applyFont="1" applyFill="1" applyBorder="1" applyAlignment="1">
      <alignment horizontal="center" vertical="center"/>
    </xf>
    <xf numFmtId="0" fontId="3" fillId="36" borderId="17" xfId="0" applyFont="1" applyFill="1" applyBorder="1" applyAlignment="1">
      <alignment horizontal="center" vertical="center"/>
    </xf>
    <xf numFmtId="0" fontId="16" fillId="32" borderId="5" xfId="0" applyFont="1" applyFill="1" applyBorder="1" applyAlignment="1" applyProtection="1">
      <alignment horizontal="center" vertical="center"/>
      <protection hidden="1"/>
    </xf>
    <xf numFmtId="9" fontId="16" fillId="32" borderId="6" xfId="2" applyFont="1" applyFill="1" applyBorder="1" applyAlignment="1" applyProtection="1">
      <alignment horizontal="center" vertical="center"/>
      <protection hidden="1"/>
    </xf>
    <xf numFmtId="0" fontId="17" fillId="32" borderId="5" xfId="0" applyFont="1" applyFill="1" applyBorder="1" applyAlignment="1" applyProtection="1">
      <alignment horizontal="center" vertical="center"/>
      <protection hidden="1"/>
    </xf>
    <xf numFmtId="9" fontId="17" fillId="32" borderId="6" xfId="2" applyFont="1" applyFill="1" applyBorder="1" applyAlignment="1" applyProtection="1">
      <alignment horizontal="center" vertical="center"/>
      <protection hidden="1"/>
    </xf>
    <xf numFmtId="171" fontId="12" fillId="10" borderId="5" xfId="0" applyNumberFormat="1" applyFont="1" applyFill="1" applyBorder="1" applyAlignment="1" applyProtection="1">
      <alignment horizontal="center" vertical="center"/>
      <protection hidden="1"/>
    </xf>
    <xf numFmtId="171" fontId="12" fillId="10" borderId="2" xfId="0" applyNumberFormat="1" applyFont="1" applyFill="1" applyBorder="1" applyAlignment="1" applyProtection="1">
      <alignment horizontal="center" vertical="center"/>
      <protection hidden="1"/>
    </xf>
    <xf numFmtId="171" fontId="12" fillId="10" borderId="1" xfId="0" applyNumberFormat="1" applyFont="1" applyFill="1" applyBorder="1" applyAlignment="1" applyProtection="1">
      <alignment horizontal="center" vertical="center"/>
      <protection hidden="1"/>
    </xf>
    <xf numFmtId="3" fontId="11" fillId="25" borderId="9" xfId="0" applyNumberFormat="1" applyFont="1" applyFill="1" applyBorder="1" applyAlignment="1" applyProtection="1">
      <alignment horizontal="center" vertical="center" wrapText="1"/>
      <protection hidden="1"/>
    </xf>
    <xf numFmtId="171" fontId="12" fillId="10" borderId="26" xfId="0" applyNumberFormat="1" applyFont="1" applyFill="1" applyBorder="1" applyAlignment="1" applyProtection="1">
      <alignment horizontal="center" vertical="center"/>
      <protection hidden="1"/>
    </xf>
    <xf numFmtId="170" fontId="0" fillId="0" borderId="0" xfId="4" applyNumberFormat="1" applyFont="1" applyFill="1"/>
    <xf numFmtId="171" fontId="12" fillId="26" borderId="26" xfId="0" applyNumberFormat="1" applyFont="1" applyFill="1" applyBorder="1" applyAlignment="1" applyProtection="1">
      <alignment horizontal="center" vertical="center"/>
      <protection hidden="1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19" xfId="0" applyBorder="1"/>
    <xf numFmtId="3" fontId="11" fillId="25" borderId="19" xfId="0" applyNumberFormat="1" applyFont="1" applyFill="1" applyBorder="1" applyAlignment="1" applyProtection="1">
      <alignment horizontal="center" vertical="center" wrapText="1"/>
      <protection hidden="1"/>
    </xf>
    <xf numFmtId="171" fontId="8" fillId="9" borderId="19" xfId="0" applyNumberFormat="1" applyFont="1" applyFill="1" applyBorder="1" applyAlignment="1" applyProtection="1">
      <alignment horizontal="center" vertical="center"/>
      <protection hidden="1"/>
    </xf>
    <xf numFmtId="168" fontId="0" fillId="0" borderId="33" xfId="1" applyNumberFormat="1" applyFont="1" applyBorder="1"/>
    <xf numFmtId="168" fontId="0" fillId="0" borderId="0" xfId="0" applyNumberFormat="1"/>
    <xf numFmtId="168" fontId="0" fillId="31" borderId="3" xfId="1" applyNumberFormat="1" applyFont="1" applyFill="1" applyBorder="1"/>
    <xf numFmtId="168" fontId="0" fillId="31" borderId="17" xfId="1" applyNumberFormat="1" applyFont="1" applyFill="1" applyBorder="1"/>
    <xf numFmtId="168" fontId="0" fillId="31" borderId="4" xfId="1" applyNumberFormat="1" applyFont="1" applyFill="1" applyBorder="1"/>
    <xf numFmtId="168" fontId="0" fillId="31" borderId="26" xfId="1" applyNumberFormat="1" applyFont="1" applyFill="1" applyBorder="1"/>
    <xf numFmtId="168" fontId="0" fillId="31" borderId="0" xfId="1" applyNumberFormat="1" applyFont="1" applyFill="1" applyBorder="1"/>
    <xf numFmtId="168" fontId="0" fillId="31" borderId="33" xfId="1" applyNumberFormat="1" applyFont="1" applyFill="1" applyBorder="1"/>
    <xf numFmtId="168" fontId="0" fillId="31" borderId="32" xfId="1" applyNumberFormat="1" applyFont="1" applyFill="1" applyBorder="1"/>
    <xf numFmtId="168" fontId="0" fillId="31" borderId="9" xfId="1" applyNumberFormat="1" applyFont="1" applyFill="1" applyBorder="1"/>
    <xf numFmtId="168" fontId="0" fillId="31" borderId="10" xfId="1" applyNumberFormat="1" applyFont="1" applyFill="1" applyBorder="1"/>
    <xf numFmtId="168" fontId="0" fillId="31" borderId="23" xfId="1" applyNumberFormat="1" applyFont="1" applyFill="1" applyBorder="1"/>
    <xf numFmtId="168" fontId="0" fillId="31" borderId="18" xfId="1" applyNumberFormat="1" applyFont="1" applyFill="1" applyBorder="1"/>
    <xf numFmtId="168" fontId="0" fillId="12" borderId="3" xfId="1" applyNumberFormat="1" applyFont="1" applyFill="1" applyBorder="1"/>
    <xf numFmtId="168" fontId="0" fillId="12" borderId="17" xfId="1" applyNumberFormat="1" applyFont="1" applyFill="1" applyBorder="1"/>
    <xf numFmtId="168" fontId="0" fillId="12" borderId="4" xfId="1" applyNumberFormat="1" applyFont="1" applyFill="1" applyBorder="1"/>
    <xf numFmtId="168" fontId="0" fillId="12" borderId="23" xfId="1" applyNumberFormat="1" applyFont="1" applyFill="1" applyBorder="1"/>
    <xf numFmtId="168" fontId="0" fillId="12" borderId="0" xfId="1" applyNumberFormat="1" applyFont="1" applyFill="1" applyBorder="1"/>
    <xf numFmtId="168" fontId="0" fillId="12" borderId="33" xfId="1" applyNumberFormat="1" applyFont="1" applyFill="1" applyBorder="1"/>
    <xf numFmtId="168" fontId="0" fillId="12" borderId="32" xfId="1" applyNumberFormat="1" applyFont="1" applyFill="1" applyBorder="1"/>
    <xf numFmtId="168" fontId="0" fillId="12" borderId="9" xfId="1" applyNumberFormat="1" applyFont="1" applyFill="1" applyBorder="1"/>
    <xf numFmtId="168" fontId="0" fillId="12" borderId="18" xfId="1" applyNumberFormat="1" applyFont="1" applyFill="1" applyBorder="1"/>
    <xf numFmtId="168" fontId="0" fillId="12" borderId="10" xfId="1" applyNumberFormat="1" applyFont="1" applyFill="1" applyBorder="1"/>
    <xf numFmtId="0" fontId="0" fillId="0" borderId="0" xfId="0" applyAlignment="1">
      <alignment horizontal="center"/>
    </xf>
    <xf numFmtId="9" fontId="0" fillId="0" borderId="0" xfId="0" applyNumberFormat="1"/>
    <xf numFmtId="172" fontId="2" fillId="11" borderId="19" xfId="2" applyNumberFormat="1" applyFont="1" applyFill="1" applyBorder="1" applyAlignment="1">
      <alignment horizontal="center" vertical="center"/>
    </xf>
    <xf numFmtId="4" fontId="4" fillId="12" borderId="43" xfId="0" applyNumberFormat="1" applyFont="1" applyFill="1" applyBorder="1" applyAlignment="1" applyProtection="1">
      <alignment horizontal="center" vertical="center"/>
      <protection hidden="1"/>
    </xf>
    <xf numFmtId="4" fontId="4" fillId="13" borderId="43" xfId="0" applyNumberFormat="1" applyFont="1" applyFill="1" applyBorder="1" applyAlignment="1" applyProtection="1">
      <alignment horizontal="center" vertical="center"/>
      <protection hidden="1"/>
    </xf>
    <xf numFmtId="4" fontId="4" fillId="15" borderId="43" xfId="0" applyNumberFormat="1" applyFont="1" applyFill="1" applyBorder="1" applyAlignment="1" applyProtection="1">
      <alignment horizontal="center" vertical="center"/>
      <protection hidden="1"/>
    </xf>
    <xf numFmtId="4" fontId="4" fillId="16" borderId="43" xfId="0" applyNumberFormat="1" applyFont="1" applyFill="1" applyBorder="1" applyAlignment="1" applyProtection="1">
      <alignment horizontal="center" vertical="center"/>
      <protection hidden="1"/>
    </xf>
    <xf numFmtId="4" fontId="4" fillId="17" borderId="43" xfId="0" applyNumberFormat="1" applyFont="1" applyFill="1" applyBorder="1" applyAlignment="1" applyProtection="1">
      <alignment horizontal="center" vertical="center"/>
      <protection hidden="1"/>
    </xf>
    <xf numFmtId="171" fontId="0" fillId="0" borderId="0" xfId="0" applyNumberFormat="1"/>
    <xf numFmtId="171" fontId="8" fillId="9" borderId="27" xfId="0" applyNumberFormat="1" applyFont="1" applyFill="1" applyBorder="1" applyAlignment="1" applyProtection="1">
      <alignment horizontal="center" vertical="center"/>
      <protection hidden="1"/>
    </xf>
    <xf numFmtId="171" fontId="0" fillId="0" borderId="29" xfId="0" applyNumberFormat="1" applyBorder="1" applyAlignment="1">
      <alignment horizontal="center" vertical="center"/>
    </xf>
    <xf numFmtId="3" fontId="11" fillId="25" borderId="31" xfId="0" applyNumberFormat="1" applyFont="1" applyFill="1" applyBorder="1" applyAlignment="1" applyProtection="1">
      <alignment horizontal="center" vertical="center" wrapText="1"/>
      <protection hidden="1"/>
    </xf>
    <xf numFmtId="171" fontId="8" fillId="9" borderId="31" xfId="0" applyNumberFormat="1" applyFont="1" applyFill="1" applyBorder="1" applyAlignment="1" applyProtection="1">
      <alignment horizontal="center" vertical="center"/>
      <protection hidden="1"/>
    </xf>
    <xf numFmtId="171" fontId="0" fillId="0" borderId="30" xfId="0" applyNumberFormat="1" applyBorder="1" applyAlignment="1">
      <alignment horizontal="center" vertical="center"/>
    </xf>
    <xf numFmtId="171" fontId="8" fillId="9" borderId="14" xfId="0" applyNumberFormat="1" applyFont="1" applyFill="1" applyBorder="1" applyAlignment="1" applyProtection="1">
      <alignment horizontal="center" vertical="center"/>
      <protection hidden="1"/>
    </xf>
    <xf numFmtId="171" fontId="0" fillId="0" borderId="13" xfId="0" applyNumberFormat="1" applyBorder="1" applyAlignment="1">
      <alignment horizontal="center" vertical="center"/>
    </xf>
    <xf numFmtId="168" fontId="1" fillId="0" borderId="33" xfId="1" applyNumberFormat="1" applyFont="1" applyBorder="1"/>
    <xf numFmtId="3" fontId="13" fillId="0" borderId="33" xfId="0" applyNumberFormat="1" applyFont="1" applyBorder="1" applyAlignment="1" applyProtection="1">
      <alignment vertical="center" wrapText="1"/>
      <protection locked="0"/>
    </xf>
    <xf numFmtId="3" fontId="13" fillId="0" borderId="10" xfId="0" applyNumberFormat="1" applyFont="1" applyBorder="1" applyAlignment="1" applyProtection="1">
      <alignment vertical="center" wrapText="1"/>
      <protection locked="0"/>
    </xf>
    <xf numFmtId="0" fontId="13" fillId="0" borderId="33" xfId="0" applyFont="1" applyBorder="1" applyAlignment="1" applyProtection="1">
      <alignment vertical="center"/>
      <protection locked="0"/>
    </xf>
    <xf numFmtId="168" fontId="0" fillId="32" borderId="0" xfId="1" applyNumberFormat="1" applyFont="1" applyFill="1" applyBorder="1"/>
    <xf numFmtId="168" fontId="7" fillId="6" borderId="20" xfId="1" applyNumberFormat="1" applyFont="1" applyFill="1" applyBorder="1" applyAlignment="1" applyProtection="1">
      <alignment horizontal="left" vertical="center" wrapText="1"/>
      <protection hidden="1"/>
    </xf>
    <xf numFmtId="168" fontId="0" fillId="0" borderId="0" xfId="1" applyNumberFormat="1" applyFont="1" applyProtection="1">
      <protection hidden="1"/>
    </xf>
    <xf numFmtId="170" fontId="0" fillId="0" borderId="0" xfId="6" applyNumberFormat="1" applyFont="1" applyAlignment="1" applyProtection="1">
      <alignment horizontal="left" vertical="center"/>
      <protection hidden="1"/>
    </xf>
    <xf numFmtId="170" fontId="0" fillId="0" borderId="0" xfId="6" applyNumberFormat="1" applyFont="1" applyProtection="1">
      <protection hidden="1"/>
    </xf>
    <xf numFmtId="170" fontId="0" fillId="0" borderId="19" xfId="6" applyNumberFormat="1" applyFont="1" applyBorder="1" applyAlignment="1" applyProtection="1">
      <alignment horizontal="left" vertical="center"/>
      <protection hidden="1"/>
    </xf>
    <xf numFmtId="170" fontId="0" fillId="0" borderId="19" xfId="6" applyNumberFormat="1" applyFont="1" applyBorder="1" applyAlignment="1" applyProtection="1">
      <alignment horizontal="center" vertical="center"/>
      <protection hidden="1"/>
    </xf>
    <xf numFmtId="168" fontId="0" fillId="0" borderId="0" xfId="1" applyNumberFormat="1" applyFont="1" applyAlignment="1" applyProtection="1">
      <alignment horizontal="left" vertical="center"/>
      <protection hidden="1"/>
    </xf>
    <xf numFmtId="168" fontId="7" fillId="0" borderId="0" xfId="1" applyNumberFormat="1" applyFont="1" applyFill="1" applyBorder="1" applyAlignment="1" applyProtection="1">
      <alignment horizontal="left" vertical="center" wrapText="1"/>
      <protection hidden="1"/>
    </xf>
    <xf numFmtId="168" fontId="0" fillId="31" borderId="19" xfId="1" applyNumberFormat="1" applyFont="1" applyFill="1" applyBorder="1"/>
    <xf numFmtId="168" fontId="0" fillId="31" borderId="23" xfId="1" applyNumberFormat="1" applyFont="1" applyFill="1" applyBorder="1" applyAlignment="1">
      <alignment wrapText="1"/>
    </xf>
    <xf numFmtId="0" fontId="0" fillId="0" borderId="0" xfId="0" applyAlignment="1" applyProtection="1">
      <alignment vertical="center"/>
      <protection hidden="1"/>
    </xf>
    <xf numFmtId="170" fontId="0" fillId="0" borderId="0" xfId="6" applyNumberFormat="1" applyFont="1" applyFill="1" applyBorder="1" applyAlignment="1" applyProtection="1">
      <alignment horizontal="left" vertical="center"/>
      <protection hidden="1"/>
    </xf>
    <xf numFmtId="170" fontId="0" fillId="0" borderId="0" xfId="6" applyNumberFormat="1" applyFont="1" applyFill="1" applyBorder="1" applyAlignment="1" applyProtection="1">
      <alignment horizontal="center" vertical="center"/>
      <protection hidden="1"/>
    </xf>
    <xf numFmtId="170" fontId="0" fillId="0" borderId="0" xfId="6" applyNumberFormat="1" applyFont="1" applyFill="1" applyBorder="1" applyProtection="1">
      <protection hidden="1"/>
    </xf>
    <xf numFmtId="0" fontId="4" fillId="0" borderId="0" xfId="0" applyFont="1" applyAlignment="1" applyProtection="1">
      <alignment vertical="center"/>
      <protection hidden="1"/>
    </xf>
    <xf numFmtId="168" fontId="0" fillId="31" borderId="44" xfId="1" applyNumberFormat="1" applyFont="1" applyFill="1" applyBorder="1"/>
    <xf numFmtId="168" fontId="0" fillId="31" borderId="34" xfId="1" applyNumberFormat="1" applyFont="1" applyFill="1" applyBorder="1"/>
    <xf numFmtId="168" fontId="0" fillId="31" borderId="50" xfId="1" applyNumberFormat="1" applyFont="1" applyFill="1" applyBorder="1"/>
    <xf numFmtId="168" fontId="0" fillId="31" borderId="46" xfId="1" applyNumberFormat="1" applyFont="1" applyFill="1" applyBorder="1"/>
    <xf numFmtId="168" fontId="0" fillId="31" borderId="45" xfId="1" applyNumberFormat="1" applyFont="1" applyFill="1" applyBorder="1"/>
    <xf numFmtId="168" fontId="0" fillId="31" borderId="36" xfId="1" applyNumberFormat="1" applyFont="1" applyFill="1" applyBorder="1"/>
    <xf numFmtId="168" fontId="0" fillId="31" borderId="49" xfId="1" applyNumberFormat="1" applyFont="1" applyFill="1" applyBorder="1"/>
    <xf numFmtId="168" fontId="0" fillId="31" borderId="51" xfId="1" applyNumberFormat="1" applyFont="1" applyFill="1" applyBorder="1"/>
    <xf numFmtId="0" fontId="0" fillId="0" borderId="44" xfId="0" applyBorder="1"/>
    <xf numFmtId="0" fontId="0" fillId="0" borderId="50" xfId="0" applyBorder="1"/>
    <xf numFmtId="0" fontId="0" fillId="0" borderId="46" xfId="0" applyBorder="1"/>
    <xf numFmtId="168" fontId="0" fillId="0" borderId="45" xfId="1" applyNumberFormat="1" applyFont="1" applyBorder="1" applyAlignment="1">
      <alignment horizontal="left" indent="1"/>
    </xf>
    <xf numFmtId="168" fontId="0" fillId="0" borderId="45" xfId="1" applyNumberFormat="1" applyFont="1" applyBorder="1"/>
    <xf numFmtId="0" fontId="0" fillId="0" borderId="36" xfId="0" applyBorder="1"/>
    <xf numFmtId="168" fontId="0" fillId="0" borderId="45" xfId="1" applyNumberFormat="1" applyFont="1" applyBorder="1" applyAlignment="1" applyProtection="1">
      <alignment horizontal="left" vertical="center"/>
      <protection hidden="1"/>
    </xf>
    <xf numFmtId="168" fontId="0" fillId="7" borderId="45" xfId="1" applyNumberFormat="1" applyFont="1" applyFill="1" applyBorder="1" applyProtection="1">
      <protection hidden="1"/>
    </xf>
    <xf numFmtId="168" fontId="0" fillId="7" borderId="51" xfId="1" applyNumberFormat="1" applyFont="1" applyFill="1" applyBorder="1" applyProtection="1">
      <protection hidden="1"/>
    </xf>
    <xf numFmtId="168" fontId="0" fillId="7" borderId="19" xfId="1" applyNumberFormat="1" applyFont="1" applyFill="1" applyBorder="1"/>
    <xf numFmtId="168" fontId="0" fillId="7" borderId="0" xfId="1" applyNumberFormat="1" applyFont="1" applyFill="1" applyProtection="1">
      <protection hidden="1"/>
    </xf>
    <xf numFmtId="168" fontId="0" fillId="7" borderId="0" xfId="1" applyNumberFormat="1" applyFont="1" applyFill="1" applyAlignment="1" applyProtection="1">
      <alignment horizontal="left" vertical="center"/>
      <protection hidden="1"/>
    </xf>
    <xf numFmtId="0" fontId="4" fillId="7" borderId="0" xfId="0" applyFont="1" applyFill="1" applyAlignment="1" applyProtection="1">
      <alignment vertical="center"/>
      <protection hidden="1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3" fontId="4" fillId="7" borderId="23" xfId="0" applyNumberFormat="1" applyFont="1" applyFill="1" applyBorder="1" applyAlignment="1" applyProtection="1">
      <alignment horizontal="center" vertical="center"/>
      <protection hidden="1"/>
    </xf>
    <xf numFmtId="3" fontId="4" fillId="7" borderId="48" xfId="0" applyNumberFormat="1" applyFont="1" applyFill="1" applyBorder="1" applyAlignment="1" applyProtection="1">
      <alignment horizontal="center" vertical="center"/>
      <protection hidden="1"/>
    </xf>
    <xf numFmtId="3" fontId="4" fillId="7" borderId="42" xfId="0" applyNumberFormat="1" applyFont="1" applyFill="1" applyBorder="1" applyAlignment="1" applyProtection="1">
      <alignment horizontal="center" vertical="center"/>
      <protection hidden="1"/>
    </xf>
    <xf numFmtId="0" fontId="9" fillId="10" borderId="3" xfId="0" applyFont="1" applyFill="1" applyBorder="1" applyAlignment="1">
      <alignment horizontal="left" vertical="center" wrapText="1"/>
    </xf>
    <xf numFmtId="0" fontId="9" fillId="10" borderId="17" xfId="0" applyFont="1" applyFill="1" applyBorder="1" applyAlignment="1">
      <alignment horizontal="left" vertical="center" wrapText="1"/>
    </xf>
    <xf numFmtId="0" fontId="9" fillId="10" borderId="4" xfId="0" applyFont="1" applyFill="1" applyBorder="1" applyAlignment="1">
      <alignment horizontal="left" vertical="center" wrapText="1"/>
    </xf>
    <xf numFmtId="0" fontId="9" fillId="10" borderId="9" xfId="0" applyFont="1" applyFill="1" applyBorder="1" applyAlignment="1">
      <alignment horizontal="left" vertical="center" wrapText="1"/>
    </xf>
    <xf numFmtId="0" fontId="9" fillId="10" borderId="18" xfId="0" applyFont="1" applyFill="1" applyBorder="1" applyAlignment="1">
      <alignment horizontal="left" vertical="center" wrapText="1"/>
    </xf>
    <xf numFmtId="0" fontId="9" fillId="10" borderId="10" xfId="0" applyFont="1" applyFill="1" applyBorder="1" applyAlignment="1">
      <alignment horizontal="left" vertical="center" wrapText="1"/>
    </xf>
    <xf numFmtId="0" fontId="0" fillId="10" borderId="14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10" borderId="16" xfId="0" applyFill="1" applyBorder="1" applyAlignment="1">
      <alignment horizontal="center"/>
    </xf>
    <xf numFmtId="168" fontId="10" fillId="24" borderId="14" xfId="3" applyNumberFormat="1" applyFont="1" applyFill="1" applyBorder="1" applyAlignment="1" applyProtection="1">
      <alignment horizontal="left" vertical="center" wrapText="1"/>
      <protection hidden="1"/>
    </xf>
    <xf numFmtId="168" fontId="10" fillId="24" borderId="15" xfId="3" applyNumberFormat="1" applyFont="1" applyFill="1" applyBorder="1" applyAlignment="1" applyProtection="1">
      <alignment horizontal="left" vertical="center" wrapText="1"/>
      <protection hidden="1"/>
    </xf>
    <xf numFmtId="168" fontId="10" fillId="24" borderId="16" xfId="3" applyNumberFormat="1" applyFont="1" applyFill="1" applyBorder="1" applyAlignment="1" applyProtection="1">
      <alignment horizontal="left" vertical="center" wrapText="1"/>
      <protection hidden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0" fillId="37" borderId="18" xfId="0" applyFill="1" applyBorder="1" applyAlignment="1">
      <alignment horizontal="center"/>
    </xf>
    <xf numFmtId="0" fontId="2" fillId="2" borderId="22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/>
      <protection hidden="1"/>
    </xf>
    <xf numFmtId="0" fontId="9" fillId="10" borderId="32" xfId="0" applyFont="1" applyFill="1" applyBorder="1" applyAlignment="1">
      <alignment horizontal="left" vertical="center" wrapText="1"/>
    </xf>
    <xf numFmtId="0" fontId="9" fillId="10" borderId="0" xfId="0" applyFont="1" applyFill="1" applyAlignment="1">
      <alignment horizontal="left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" fillId="4" borderId="5" xfId="0" applyFont="1" applyFill="1" applyBorder="1" applyAlignment="1" applyProtection="1">
      <alignment horizontal="center" vertical="center" wrapText="1"/>
      <protection hidden="1"/>
    </xf>
    <xf numFmtId="0" fontId="6" fillId="4" borderId="6" xfId="0" applyFont="1" applyFill="1" applyBorder="1" applyAlignment="1" applyProtection="1">
      <alignment horizontal="center" vertical="center" wrapText="1"/>
      <protection hidden="1"/>
    </xf>
    <xf numFmtId="0" fontId="6" fillId="4" borderId="40" xfId="0" applyFont="1" applyFill="1" applyBorder="1" applyAlignment="1" applyProtection="1">
      <alignment horizontal="center" vertical="center" wrapText="1"/>
      <protection hidden="1"/>
    </xf>
    <xf numFmtId="0" fontId="6" fillId="5" borderId="5" xfId="0" applyFont="1" applyFill="1" applyBorder="1" applyAlignment="1" applyProtection="1">
      <alignment horizontal="center" vertical="center" wrapText="1"/>
      <protection hidden="1"/>
    </xf>
    <xf numFmtId="0" fontId="6" fillId="5" borderId="6" xfId="0" applyFont="1" applyFill="1" applyBorder="1" applyAlignment="1" applyProtection="1">
      <alignment horizontal="center" vertical="center" wrapText="1"/>
      <protection hidden="1"/>
    </xf>
    <xf numFmtId="0" fontId="6" fillId="5" borderId="40" xfId="0" applyFont="1" applyFill="1" applyBorder="1" applyAlignment="1" applyProtection="1">
      <alignment horizontal="center" vertical="center" wrapText="1"/>
      <protection hidden="1"/>
    </xf>
    <xf numFmtId="0" fontId="6" fillId="3" borderId="5" xfId="0" applyFont="1" applyFill="1" applyBorder="1" applyAlignment="1" applyProtection="1">
      <alignment horizontal="center" vertical="center" wrapText="1"/>
      <protection hidden="1"/>
    </xf>
    <xf numFmtId="0" fontId="6" fillId="3" borderId="6" xfId="0" applyFont="1" applyFill="1" applyBorder="1" applyAlignment="1" applyProtection="1">
      <alignment horizontal="center" vertical="center" wrapText="1"/>
      <protection hidden="1"/>
    </xf>
    <xf numFmtId="0" fontId="6" fillId="3" borderId="40" xfId="0" applyFont="1" applyFill="1" applyBorder="1" applyAlignment="1" applyProtection="1">
      <alignment horizontal="center" vertical="center" wrapText="1"/>
      <protection hidden="1"/>
    </xf>
    <xf numFmtId="0" fontId="9" fillId="10" borderId="3" xfId="0" applyFont="1" applyFill="1" applyBorder="1" applyAlignment="1">
      <alignment horizontal="center" vertical="center" wrapText="1"/>
    </xf>
    <xf numFmtId="0" fontId="9" fillId="10" borderId="17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18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</cellXfs>
  <cellStyles count="7">
    <cellStyle name="Comma" xfId="1" builtinId="3"/>
    <cellStyle name="Currency" xfId="6" builtinId="4"/>
    <cellStyle name="Millares 2" xfId="3" xr:uid="{D7F8A13A-4612-40C8-9442-15A44F607A1F}"/>
    <cellStyle name="Millares 4" xfId="5" xr:uid="{1E30C667-57D9-448A-AEA4-F295F30B0B47}"/>
    <cellStyle name="Moneda 2" xfId="4" xr:uid="{96B77369-4A25-49B1-9EA5-27E9FE0BEE71}"/>
    <cellStyle name="Normal" xfId="0" builtinId="0"/>
    <cellStyle name="Percent" xfId="2" builtinId="5"/>
  </cellStyles>
  <dxfs count="69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171" formatCode="#,##0_ ;\-#,##0\ 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medium">
          <color indexed="64"/>
        </top>
      </border>
    </dxf>
    <dxf>
      <border outline="0">
        <top style="thin">
          <color rgb="FF00206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protection locked="1" hidden="1"/>
    </dxf>
    <dxf>
      <border outline="0">
        <bottom style="thin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2060"/>
        <name val="Frutiger 45 Light"/>
        <scheme val="none"/>
      </font>
      <fill>
        <patternFill patternType="solid">
          <fgColor indexed="64"/>
          <bgColor rgb="FFE9EFF7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171" formatCode="#,##0_ ;\-#,##0\ 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medium">
          <color indexed="64"/>
        </top>
      </border>
    </dxf>
    <dxf>
      <border outline="0">
        <top style="thin">
          <color rgb="FF00206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protection locked="1" hidden="1"/>
    </dxf>
    <dxf>
      <border outline="0">
        <bottom style="thin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2060"/>
        <name val="Frutiger 45 Light"/>
        <scheme val="none"/>
      </font>
      <fill>
        <patternFill patternType="solid">
          <fgColor indexed="64"/>
          <bgColor rgb="FFE9EFF7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171" formatCode="#,##0_ ;\-#,##0\ 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medium">
          <color indexed="64"/>
        </top>
      </border>
    </dxf>
    <dxf>
      <border outline="0">
        <top style="thin">
          <color rgb="FF00206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protection locked="1" hidden="1"/>
    </dxf>
    <dxf>
      <border outline="0">
        <bottom style="thin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2060"/>
        <name val="Frutiger 45 Light"/>
        <scheme val="none"/>
      </font>
      <fill>
        <patternFill patternType="solid">
          <fgColor indexed="64"/>
          <bgColor rgb="FFE9EFF7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171" formatCode="#,##0_ ;\-#,##0\ 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medium">
          <color indexed="64"/>
        </top>
      </border>
    </dxf>
    <dxf>
      <border outline="0">
        <top style="thin">
          <color rgb="FF00206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protection locked="1" hidden="1"/>
    </dxf>
    <dxf>
      <border outline="0">
        <bottom style="thin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2060"/>
        <name val="Frutiger 45 Light"/>
        <scheme val="none"/>
      </font>
      <fill>
        <patternFill patternType="solid">
          <fgColor indexed="64"/>
          <bgColor rgb="FFE9EFF7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171" formatCode="#,##0_ ;\-#,##0\ 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medium">
          <color indexed="64"/>
        </top>
      </border>
    </dxf>
    <dxf>
      <border outline="0">
        <top style="thin">
          <color rgb="FF00206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protection locked="1" hidden="1"/>
    </dxf>
    <dxf>
      <border outline="0">
        <bottom style="thin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2060"/>
        <name val="Frutiger 45 Light"/>
        <scheme val="none"/>
      </font>
      <fill>
        <patternFill patternType="solid">
          <fgColor indexed="64"/>
          <bgColor rgb="FFE9EFF7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171" formatCode="#,##0_ ;\-#,##0\ 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medium">
          <color indexed="64"/>
        </top>
      </border>
    </dxf>
    <dxf>
      <border outline="0">
        <top style="thin">
          <color rgb="FF00206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protection locked="1" hidden="1"/>
    </dxf>
    <dxf>
      <border outline="0">
        <bottom style="thin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2060"/>
        <name val="Frutiger 45 Light"/>
        <scheme val="none"/>
      </font>
      <fill>
        <patternFill patternType="solid">
          <fgColor indexed="64"/>
          <bgColor rgb="FFE9EFF7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171" formatCode="#,##0_ ;\-#,##0\ 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medium">
          <color indexed="64"/>
        </top>
      </border>
    </dxf>
    <dxf>
      <border outline="0">
        <top style="thin">
          <color rgb="FF00206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protection locked="1" hidden="1"/>
    </dxf>
    <dxf>
      <border outline="0">
        <bottom style="thin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2060"/>
        <name val="Frutiger 45 Light"/>
        <scheme val="none"/>
      </font>
      <fill>
        <patternFill patternType="solid">
          <fgColor indexed="64"/>
          <bgColor rgb="FFE9EFF7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171" formatCode="#,##0_ ;\-#,##0\ 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medium">
          <color indexed="64"/>
        </top>
      </border>
    </dxf>
    <dxf>
      <border outline="0">
        <top style="thin">
          <color rgb="FF00206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protection locked="1" hidden="1"/>
    </dxf>
    <dxf>
      <border outline="0">
        <bottom style="thin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2060"/>
        <name val="Frutiger 45 Light"/>
        <scheme val="none"/>
      </font>
      <fill>
        <patternFill patternType="solid">
          <fgColor indexed="64"/>
          <bgColor rgb="FFE9EFF7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171" formatCode="#,##0_ ;\-#,##0\ 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medium">
          <color indexed="64"/>
        </top>
      </border>
    </dxf>
    <dxf>
      <border outline="0">
        <top style="thin">
          <color rgb="FF00206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protection locked="1" hidden="1"/>
    </dxf>
    <dxf>
      <border outline="0">
        <bottom style="thin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2060"/>
        <name val="Frutiger 45 Light"/>
        <scheme val="none"/>
      </font>
      <fill>
        <patternFill patternType="solid">
          <fgColor indexed="64"/>
          <bgColor rgb="FFE9EFF7"/>
        </patternFill>
      </fill>
      <alignment horizontal="left" vertical="center" textRotation="0" wrapText="1" indent="0" justifyLastLine="0" shrinkToFit="0" readingOrder="0"/>
      <protection locked="1" hidden="1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5</xdr:row>
      <xdr:rowOff>0</xdr:rowOff>
    </xdr:from>
    <xdr:to>
      <xdr:col>16384</xdr:col>
      <xdr:colOff>762379</xdr:colOff>
      <xdr:row>5</xdr:row>
      <xdr:rowOff>155862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4C55F2F-B1A6-436C-8B9D-B00444417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79840" y="1066800"/>
          <a:ext cx="762379" cy="15586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E527F5-50AD-4D80-97BB-45538644BA49}" name="COP500.000.000" displayName="COP500.000.000" ref="Z3:Z5" totalsRowShown="0" headerRowDxfId="68" dataDxfId="67">
  <autoFilter ref="Z3:Z5" xr:uid="{7DAD7939-7899-4699-B60E-FA6525D0F403}"/>
  <tableColumns count="1">
    <tableColumn id="1" xr3:uid="{E6B490BF-1C2A-4DAF-BFB7-FD914002E5EE}" name="COP500.000.000" dataDxfId="6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01433D-8D20-4E3B-9AEF-AB1CEBE87CCE}" name="COP1.000.000.000" displayName="COP1.000.000.000" ref="AA3:AA5" totalsRowShown="0" headerRowDxfId="65" dataDxfId="64">
  <autoFilter ref="AA3:AA5" xr:uid="{A3DE6A3A-6F00-4EBC-B133-AA6AC79406C7}"/>
  <tableColumns count="1">
    <tableColumn id="1" xr3:uid="{CDAD6568-D8CE-42DC-9758-A27AAE25679C}" name="COP1.000.000.000" dataDxfId="6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D17488D-5651-4379-A17F-B2FAC65C1AF0}" name="COP1.500.000.000" displayName="COP1.500.000.000" ref="AB3:AB5" totalsRowShown="0" headerRowDxfId="62" dataDxfId="61">
  <autoFilter ref="AB3:AB5" xr:uid="{22F00166-C7A5-4959-80E1-D98CBBD2F033}"/>
  <tableColumns count="1">
    <tableColumn id="1" xr3:uid="{298B732B-FECE-4378-AE4C-2B8CBDB4DE81}" name="COP1.500.000.000" dataDxfId="6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411ED65-EF7C-4827-8225-A7E1CC41604D}" name="COP2.000.000.000" displayName="COP2.000.000.000" ref="AC3:AC4" totalsRowShown="0" headerRowDxfId="59" dataDxfId="58">
  <autoFilter ref="AC3:AC4" xr:uid="{DB6A144A-C336-4F16-A93B-887834DB100B}"/>
  <tableColumns count="1">
    <tableColumn id="1" xr3:uid="{40F4BF02-D972-40B8-BF90-609BBDE04083}" name="COP2.000.000.000" dataDxfId="5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093250A-BBA3-4A81-84D2-A982D90545D6}" name="COP3.000.000.000" displayName="COP3.000.000.000" ref="AD3:AD4" totalsRowShown="0" headerRowDxfId="56" dataDxfId="55">
  <autoFilter ref="AD3:AD4" xr:uid="{B9B0EBB4-CFDB-4DAF-A16B-F882C1A1FD4A}"/>
  <tableColumns count="1">
    <tableColumn id="1" xr3:uid="{77FCEA44-156C-4273-BF12-5C5907ECF61D}" name="COP3.000.000.000" dataDxfId="5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8F41B-5672-44E2-8C9C-299D4CC81E93}" name="Tabla1" displayName="Tabla1" ref="B2:B10" totalsRowShown="0" headerRowDxfId="53" dataDxfId="51" headerRowBorderDxfId="52" tableBorderDxfId="50" totalsRowBorderDxfId="49">
  <autoFilter ref="B2:B10" xr:uid="{154F2665-1D58-4538-859E-469D58D23195}"/>
  <tableColumns count="1">
    <tableColumn id="1" xr3:uid="{EC6E1D34-DA0A-4132-87A1-83062B86857E}" name="Hasta COP 7.000.000.000" dataDxfId="4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047355-7BF8-45EF-B8AE-9F49119425E2}" name="Tabla2" displayName="Tabla2" ref="C2:C14" totalsRowShown="0" headerRowDxfId="47" dataDxfId="45" headerRowBorderDxfId="46" tableBorderDxfId="44" totalsRowBorderDxfId="43">
  <autoFilter ref="C2:C14" xr:uid="{DEDADABB-AC6E-4F7E-ABFF-DB018D57ADC0}"/>
  <tableColumns count="1">
    <tableColumn id="1" xr3:uid="{533B94F2-1B70-4E98-B7CA-FFEF27B82258}" name="Hasta COP 13.000.000.000" dataDxfId="4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D118B3-E1CA-441B-8838-5D7ACF9809CE}" name="Tabla3" displayName="Tabla3" ref="D2:D15" totalsRowShown="0" headerRowDxfId="41" dataDxfId="39" headerRowBorderDxfId="40" tableBorderDxfId="38" totalsRowBorderDxfId="37">
  <autoFilter ref="D2:D15" xr:uid="{349974AD-7DBB-46AD-BFF8-AC5105FBB390}"/>
  <tableColumns count="1">
    <tableColumn id="1" xr3:uid="{D6A4ADF1-CE5F-4716-9742-DCCF74712868}" name="Hasta COP 20.000.000.000" dataDxfId="3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AFBF39-32ED-48AA-AE77-9D38BCD91551}" name="Tabla4" displayName="Tabla4" ref="E2:E15" totalsRowShown="0" headerRowDxfId="35" dataDxfId="33" headerRowBorderDxfId="34" tableBorderDxfId="32" totalsRowBorderDxfId="31">
  <autoFilter ref="E2:E15" xr:uid="{28B1849C-4E64-4954-AF49-B533E8B61FC2}"/>
  <tableColumns count="1">
    <tableColumn id="1" xr3:uid="{BB7171AC-533B-4659-A5AC-D1AC050C7D71}" name="Hasta COP 45.000.000.000" dataDxfId="3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4DA64E-9AB7-4444-9EF2-BCAEC143CDDD}" name="Tabla5" displayName="Tabla5" ref="F2:F15" totalsRowShown="0" headerRowDxfId="29" dataDxfId="27" headerRowBorderDxfId="28" tableBorderDxfId="26" totalsRowBorderDxfId="25">
  <autoFilter ref="F2:F15" xr:uid="{038A2DDE-D7BD-4BFA-ACEF-807D2FA11D05}"/>
  <tableColumns count="1">
    <tableColumn id="1" xr3:uid="{40BE1202-9952-4BEB-8A61-3E1EF8A2E80F}" name="Hasta COP 60.000.000.000" dataDxfId="2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43873B-D452-4301-A57B-475CE5ED3397}" name="Tabla6" displayName="Tabla6" ref="G2:G15" totalsRowShown="0" headerRowDxfId="23" dataDxfId="21" headerRowBorderDxfId="22" tableBorderDxfId="20" totalsRowBorderDxfId="19">
  <autoFilter ref="G2:G15" xr:uid="{5B2C4753-0224-43B3-BD1C-C615F7A811DE}"/>
  <tableColumns count="1">
    <tableColumn id="1" xr3:uid="{0A282C0E-2FE7-41AD-83A2-EDFA1A3CA0EE}" name="Hasta COP 85.000.000.000" dataDxfId="1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657AA6-1CED-4FE1-AE4F-BDEDF83DFD86}" name="Tabla7" displayName="Tabla7" ref="H2:H11" totalsRowShown="0" headerRowDxfId="17" dataDxfId="15" headerRowBorderDxfId="16" tableBorderDxfId="14" totalsRowBorderDxfId="13">
  <autoFilter ref="H2:H11" xr:uid="{6741CC8F-16F1-4491-AC05-2D216B1FE800}"/>
  <tableColumns count="1">
    <tableColumn id="1" xr3:uid="{FB4370A6-DD7D-4861-B75B-696609BC282F}" name="Hasta COP 120.000.000.000" dataDxfId="1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9541BBE-A5DF-4D74-BD10-D632CC5E7CF3}" name="Tabla8" displayName="Tabla8" ref="I2:I11" totalsRowShown="0" headerRowDxfId="11" dataDxfId="9" headerRowBorderDxfId="10" tableBorderDxfId="8" totalsRowBorderDxfId="7">
  <autoFilter ref="I2:I11" xr:uid="{F49F972B-A38B-48A8-B3E7-2BBF0F0ECCF3}"/>
  <tableColumns count="1">
    <tableColumn id="1" xr3:uid="{8A9DAF5D-EABC-43CD-8D8E-3E528BBCDC6E}" name="Hasta COP 150.000.000.000" dataDxfId="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FC8E2F8-1BAF-4B1A-9BA0-866304648E94}" name="Tabla9" displayName="Tabla9" ref="J2:J11" totalsRowShown="0" headerRowDxfId="5" dataDxfId="3" headerRowBorderDxfId="4" tableBorderDxfId="2" totalsRowBorderDxfId="1">
  <autoFilter ref="J2:J11" xr:uid="{7DCF3C7E-67AD-4BF6-9B05-D60341ACDDE6}"/>
  <tableColumns count="1">
    <tableColumn id="1" xr3:uid="{3E009771-2C87-4DCC-BF04-5F21443771E2}" name="Hasta COP 200.000.000.00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Relationship Id="rId9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0B3C4-85A4-4DDD-9D38-C7E4E7D76427}">
  <sheetPr codeName="Hoja1"/>
  <dimension ref="A1:H44"/>
  <sheetViews>
    <sheetView tabSelected="1" topLeftCell="A21" zoomScale="115" zoomScaleNormal="115" workbookViewId="0">
      <selection activeCell="B39" sqref="B39"/>
    </sheetView>
  </sheetViews>
  <sheetFormatPr defaultColWidth="11.5703125" defaultRowHeight="15"/>
  <cols>
    <col min="1" max="1" width="40.140625" customWidth="1"/>
    <col min="2" max="2" width="27.7109375" customWidth="1"/>
  </cols>
  <sheetData>
    <row r="1" spans="1:8">
      <c r="A1" s="81" t="s">
        <v>76</v>
      </c>
      <c r="B1" s="82"/>
    </row>
    <row r="2" spans="1:8">
      <c r="A2" s="83" t="s">
        <v>0</v>
      </c>
      <c r="B2" s="84"/>
    </row>
    <row r="3" spans="1:8">
      <c r="A3" s="83" t="s">
        <v>1</v>
      </c>
      <c r="B3" s="239" t="s">
        <v>19</v>
      </c>
      <c r="C3" s="74"/>
      <c r="D3" s="74"/>
      <c r="E3" s="74"/>
      <c r="F3" s="74"/>
      <c r="G3" s="74"/>
      <c r="H3" s="74"/>
    </row>
    <row r="4" spans="1:8">
      <c r="A4" s="83" t="s">
        <v>6</v>
      </c>
      <c r="B4" s="237">
        <v>1000000000</v>
      </c>
      <c r="C4" s="76"/>
    </row>
    <row r="5" spans="1:8">
      <c r="A5" s="83" t="s">
        <v>7</v>
      </c>
      <c r="B5" s="237">
        <v>1000000000</v>
      </c>
      <c r="C5" s="76"/>
    </row>
    <row r="6" spans="1:8">
      <c r="A6" s="83" t="s">
        <v>8</v>
      </c>
      <c r="B6" s="237">
        <v>1000000000</v>
      </c>
      <c r="C6" s="76"/>
    </row>
    <row r="7" spans="1:8">
      <c r="A7" s="83"/>
      <c r="B7" s="84"/>
    </row>
    <row r="8" spans="1:8">
      <c r="A8" s="83" t="s">
        <v>9</v>
      </c>
      <c r="B8" s="84" t="s">
        <v>33</v>
      </c>
    </row>
    <row r="9" spans="1:8">
      <c r="A9" s="83" t="s">
        <v>75</v>
      </c>
      <c r="B9" s="84" t="s">
        <v>34</v>
      </c>
    </row>
    <row r="10" spans="1:8" ht="15.75" thickBot="1">
      <c r="A10" s="85"/>
      <c r="B10" s="86"/>
    </row>
    <row r="12" spans="1:8" ht="15.75" thickBot="1"/>
    <row r="13" spans="1:8">
      <c r="A13" s="81" t="s">
        <v>78</v>
      </c>
      <c r="B13" s="82"/>
    </row>
    <row r="14" spans="1:8">
      <c r="A14" s="83" t="s">
        <v>0</v>
      </c>
      <c r="B14" s="84"/>
    </row>
    <row r="15" spans="1:8">
      <c r="A15" s="83" t="s">
        <v>1</v>
      </c>
      <c r="B15" s="197">
        <v>45000000000</v>
      </c>
    </row>
    <row r="16" spans="1:8">
      <c r="A16" s="83" t="s">
        <v>79</v>
      </c>
      <c r="B16" s="84" t="s">
        <v>85</v>
      </c>
    </row>
    <row r="17" spans="1:2">
      <c r="A17" s="83" t="s">
        <v>80</v>
      </c>
      <c r="B17" s="84" t="s">
        <v>85</v>
      </c>
    </row>
    <row r="18" spans="1:2">
      <c r="A18" s="83" t="s">
        <v>81</v>
      </c>
      <c r="B18" s="84" t="s">
        <v>85</v>
      </c>
    </row>
    <row r="19" spans="1:2">
      <c r="A19" s="83" t="s">
        <v>82</v>
      </c>
      <c r="B19" s="84" t="s">
        <v>86</v>
      </c>
    </row>
    <row r="20" spans="1:2">
      <c r="A20" s="83" t="s">
        <v>83</v>
      </c>
      <c r="B20" s="84" t="s">
        <v>86</v>
      </c>
    </row>
    <row r="21" spans="1:2">
      <c r="A21" s="83" t="s">
        <v>84</v>
      </c>
      <c r="B21" s="84" t="s">
        <v>86</v>
      </c>
    </row>
    <row r="22" spans="1:2">
      <c r="A22" s="83"/>
      <c r="B22" s="84"/>
    </row>
    <row r="23" spans="1:2" ht="15.75" thickBot="1">
      <c r="A23" s="85"/>
      <c r="B23" s="86"/>
    </row>
    <row r="24" spans="1:2" ht="15.75" thickBot="1"/>
    <row r="25" spans="1:2">
      <c r="A25" s="81" t="s">
        <v>249</v>
      </c>
      <c r="B25" s="82"/>
    </row>
    <row r="26" spans="1:2">
      <c r="A26" s="83" t="s">
        <v>0</v>
      </c>
      <c r="B26" s="84"/>
    </row>
    <row r="27" spans="1:2">
      <c r="A27" s="83" t="s">
        <v>1</v>
      </c>
      <c r="B27" s="236">
        <v>45000000000</v>
      </c>
    </row>
    <row r="28" spans="1:2">
      <c r="A28" s="83" t="s">
        <v>79</v>
      </c>
      <c r="B28" s="237">
        <v>1000000000</v>
      </c>
    </row>
    <row r="29" spans="1:2">
      <c r="A29" s="83" t="s">
        <v>80</v>
      </c>
      <c r="B29" s="237">
        <v>1000000000</v>
      </c>
    </row>
    <row r="30" spans="1:2" ht="15.75" thickBot="1">
      <c r="A30" s="85" t="s">
        <v>81</v>
      </c>
      <c r="B30" s="238">
        <v>1000000000</v>
      </c>
    </row>
    <row r="33" spans="1:2">
      <c r="A33" s="264" t="s">
        <v>428</v>
      </c>
      <c r="B33" s="265"/>
    </row>
    <row r="34" spans="1:2">
      <c r="A34" s="266" t="s">
        <v>0</v>
      </c>
      <c r="B34" s="267"/>
    </row>
    <row r="35" spans="1:2">
      <c r="A35" s="266" t="s">
        <v>106</v>
      </c>
      <c r="B35" s="268" t="s">
        <v>432</v>
      </c>
    </row>
    <row r="36" spans="1:2">
      <c r="A36" s="266" t="s">
        <v>440</v>
      </c>
      <c r="B36" s="268">
        <v>500000000</v>
      </c>
    </row>
    <row r="37" spans="1:2">
      <c r="A37" s="266" t="s">
        <v>441</v>
      </c>
      <c r="B37" s="270">
        <v>2000000000</v>
      </c>
    </row>
    <row r="38" spans="1:2">
      <c r="A38" s="266" t="s">
        <v>442</v>
      </c>
      <c r="B38" s="270">
        <v>5000000000</v>
      </c>
    </row>
    <row r="39" spans="1:2">
      <c r="A39" s="266" t="s">
        <v>429</v>
      </c>
      <c r="B39" s="268" t="s">
        <v>431</v>
      </c>
    </row>
    <row r="40" spans="1:2" ht="22.9" customHeight="1">
      <c r="A40" s="266" t="s">
        <v>87</v>
      </c>
      <c r="B40" s="271">
        <v>30000000</v>
      </c>
    </row>
    <row r="41" spans="1:2">
      <c r="A41" s="266" t="s">
        <v>88</v>
      </c>
      <c r="B41" s="271">
        <v>40000000</v>
      </c>
    </row>
    <row r="42" spans="1:2">
      <c r="A42" s="269" t="s">
        <v>89</v>
      </c>
      <c r="B42" s="272">
        <v>55000000</v>
      </c>
    </row>
    <row r="43" spans="1:2">
      <c r="B43" s="248"/>
    </row>
    <row r="44" spans="1:2">
      <c r="B44" s="248"/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FA1C6-514D-4DE8-B1C7-8132180F9A0D}">
  <sheetPr codeName="Hoja2"/>
  <dimension ref="A1:C37"/>
  <sheetViews>
    <sheetView showGridLines="0" topLeftCell="A16" zoomScaleNormal="100" workbookViewId="0">
      <selection activeCell="B35" sqref="B35"/>
    </sheetView>
  </sheetViews>
  <sheetFormatPr defaultColWidth="11.5703125" defaultRowHeight="15"/>
  <cols>
    <col min="1" max="1" width="58" style="90" customWidth="1"/>
    <col min="2" max="2" width="15" style="90" bestFit="1" customWidth="1"/>
    <col min="3" max="3" width="27.7109375" style="90" customWidth="1"/>
    <col min="4" max="16384" width="11.5703125" style="90"/>
  </cols>
  <sheetData>
    <row r="1" spans="1:3" ht="15.75" thickBot="1">
      <c r="A1" s="199" t="s">
        <v>90</v>
      </c>
      <c r="B1" s="200"/>
      <c r="C1" s="201"/>
    </row>
    <row r="2" spans="1:3" ht="15.75" thickBot="1">
      <c r="A2" s="202" t="s">
        <v>5</v>
      </c>
      <c r="B2" s="203"/>
      <c r="C2" s="204"/>
    </row>
    <row r="3" spans="1:3">
      <c r="A3" s="199" t="s">
        <v>2</v>
      </c>
      <c r="B3" s="201">
        <f>'CALCULOSD&amp;O'!B2</f>
        <v>2650000</v>
      </c>
      <c r="C3" s="204"/>
    </row>
    <row r="4" spans="1:3">
      <c r="A4" s="205" t="s">
        <v>3</v>
      </c>
      <c r="B4" s="204">
        <f>'CALCULOSD&amp;O'!B3</f>
        <v>2650000</v>
      </c>
      <c r="C4" s="204"/>
    </row>
    <row r="5" spans="1:3" ht="15.75" thickBot="1">
      <c r="A5" s="206" t="s">
        <v>4</v>
      </c>
      <c r="B5" s="207">
        <f>'CALCULOSD&amp;O'!B4</f>
        <v>2650000</v>
      </c>
      <c r="C5" s="204"/>
    </row>
    <row r="6" spans="1:3" ht="15.75" thickBot="1">
      <c r="A6" s="205"/>
      <c r="B6" s="203"/>
      <c r="C6" s="204"/>
    </row>
    <row r="7" spans="1:3">
      <c r="A7" s="208" t="s">
        <v>77</v>
      </c>
      <c r="B7" s="203" t="s">
        <v>61</v>
      </c>
      <c r="C7" s="204" t="s">
        <v>11</v>
      </c>
    </row>
    <row r="8" spans="1:3">
      <c r="A8" s="256">
        <v>1</v>
      </c>
      <c r="B8" s="257">
        <f>'CALCULOSD&amp;O'!D8</f>
        <v>200000000</v>
      </c>
      <c r="C8" s="258">
        <f>'CALCULOSD&amp;O'!H8</f>
        <v>15000000</v>
      </c>
    </row>
    <row r="9" spans="1:3">
      <c r="A9" s="259">
        <v>2</v>
      </c>
      <c r="B9" s="203">
        <f>'CALCULOSD&amp;O'!D9</f>
        <v>200000000</v>
      </c>
      <c r="C9" s="260">
        <f>'CALCULOSD&amp;O'!H9</f>
        <v>15000000</v>
      </c>
    </row>
    <row r="10" spans="1:3">
      <c r="A10" s="261">
        <v>3</v>
      </c>
      <c r="B10" s="262">
        <f>'CALCULOSD&amp;O'!D10</f>
        <v>200000000</v>
      </c>
      <c r="C10" s="263">
        <f>'CALCULOSD&amp;O'!H10</f>
        <v>15000000</v>
      </c>
    </row>
    <row r="11" spans="1:3" ht="15.75" thickBot="1">
      <c r="A11" s="206"/>
      <c r="B11" s="209"/>
      <c r="C11" s="207"/>
    </row>
    <row r="12" spans="1:3" ht="15.75" thickBot="1"/>
    <row r="13" spans="1:3" ht="15.75" thickBot="1">
      <c r="A13" s="210" t="s">
        <v>91</v>
      </c>
      <c r="B13" s="211"/>
      <c r="C13" s="212"/>
    </row>
    <row r="14" spans="1:3" ht="15.75" thickBot="1">
      <c r="A14" s="213" t="s">
        <v>5</v>
      </c>
      <c r="B14" s="214" t="s">
        <v>251</v>
      </c>
      <c r="C14" s="215" t="s">
        <v>65</v>
      </c>
    </row>
    <row r="15" spans="1:3">
      <c r="A15" s="210" t="s">
        <v>2</v>
      </c>
      <c r="B15" s="211" t="str">
        <f>'CALCULOS INFIDELIDAD DE EMPLEAD'!B5</f>
        <v>COP50.000.000</v>
      </c>
      <c r="C15" s="212" t="str">
        <f>'CALCULOS INFIDELIDAD DE EMPLEAD'!B2</f>
        <v>-</v>
      </c>
    </row>
    <row r="16" spans="1:3">
      <c r="A16" s="216" t="s">
        <v>3</v>
      </c>
      <c r="B16" s="214" t="str">
        <f>'CALCULOS INFIDELIDAD DE EMPLEAD'!B6</f>
        <v>COP50.000.000</v>
      </c>
      <c r="C16" s="215" t="str">
        <f>'CALCULOS INFIDELIDAD DE EMPLEAD'!B3</f>
        <v>-</v>
      </c>
    </row>
    <row r="17" spans="1:3" ht="15.75" thickBot="1">
      <c r="A17" s="217" t="s">
        <v>4</v>
      </c>
      <c r="B17" s="218" t="str">
        <f>'CALCULOS INFIDELIDAD DE EMPLEAD'!B7</f>
        <v>COP50.000.000</v>
      </c>
      <c r="C17" s="219" t="str">
        <f>'CALCULOS INFIDELIDAD DE EMPLEAD'!B4</f>
        <v>-</v>
      </c>
    </row>
    <row r="18" spans="1:3">
      <c r="A18" s="216"/>
      <c r="B18" s="214"/>
      <c r="C18" s="215"/>
    </row>
    <row r="20" spans="1:3" ht="15.75" thickBot="1"/>
    <row r="21" spans="1:3" ht="15.75" thickBot="1">
      <c r="A21" s="199" t="s">
        <v>321</v>
      </c>
      <c r="B21" s="200"/>
      <c r="C21" s="201"/>
    </row>
    <row r="22" spans="1:3" ht="15.75" thickBot="1">
      <c r="A22" s="208" t="s">
        <v>5</v>
      </c>
      <c r="B22" s="200" t="s">
        <v>11</v>
      </c>
      <c r="C22" s="201" t="s">
        <v>65</v>
      </c>
    </row>
    <row r="23" spans="1:3">
      <c r="A23" s="199" t="s">
        <v>2</v>
      </c>
      <c r="B23" s="203">
        <f>'CALCULOS CYBER'!B3</f>
        <v>50000000</v>
      </c>
      <c r="C23" s="204">
        <f>'CALCULOS CYBER'!C3</f>
        <v>8563362.5</v>
      </c>
    </row>
    <row r="24" spans="1:3">
      <c r="A24" s="205" t="s">
        <v>3</v>
      </c>
      <c r="B24" s="203">
        <f>'CALCULOS CYBER'!B4</f>
        <v>50000000</v>
      </c>
      <c r="C24" s="204">
        <f>'CALCULOS CYBER'!C4</f>
        <v>8563362.5</v>
      </c>
    </row>
    <row r="25" spans="1:3" ht="15.75" thickBot="1">
      <c r="A25" s="206" t="s">
        <v>4</v>
      </c>
      <c r="B25" s="209">
        <f>'CALCULOS CYBER'!B5</f>
        <v>50000000</v>
      </c>
      <c r="C25" s="207">
        <f>'CALCULOS CYBER'!C5</f>
        <v>8563362.5</v>
      </c>
    </row>
    <row r="26" spans="1:3">
      <c r="A26" s="205"/>
      <c r="B26" s="203"/>
      <c r="C26" s="204"/>
    </row>
    <row r="27" spans="1:3" ht="15.75" thickBot="1"/>
    <row r="28" spans="1:3" s="240" customFormat="1" ht="15.75" thickBot="1">
      <c r="A28" s="199" t="s">
        <v>428</v>
      </c>
      <c r="B28" s="200"/>
      <c r="C28" s="201"/>
    </row>
    <row r="29" spans="1:3" s="240" customFormat="1" ht="45">
      <c r="A29" s="249" t="s">
        <v>61</v>
      </c>
      <c r="B29" s="200" t="s">
        <v>11</v>
      </c>
      <c r="C29" s="250" t="s">
        <v>5</v>
      </c>
    </row>
    <row r="30" spans="1:3" s="240" customFormat="1">
      <c r="A30" s="249">
        <f>ENTRADAS!B36</f>
        <v>500000000</v>
      </c>
      <c r="B30" s="273">
        <f>ENTRADAS!B40</f>
        <v>30000000</v>
      </c>
      <c r="C30" s="249">
        <f>'busqueda pi'!C13</f>
        <v>4800000</v>
      </c>
    </row>
    <row r="31" spans="1:3" s="240" customFormat="1">
      <c r="A31" s="249">
        <f>ENTRADAS!B37</f>
        <v>2000000000</v>
      </c>
      <c r="B31" s="273">
        <f>ENTRADAS!B41</f>
        <v>40000000</v>
      </c>
      <c r="C31" s="249">
        <f>'busqueda pi'!C14</f>
        <v>14900000</v>
      </c>
    </row>
    <row r="32" spans="1:3" s="240" customFormat="1">
      <c r="A32" s="249">
        <f>ENTRADAS!B38</f>
        <v>5000000000</v>
      </c>
      <c r="B32" s="273">
        <f>ENTRADAS!B42</f>
        <v>55000000</v>
      </c>
      <c r="C32" s="249">
        <f>'busqueda pi'!C15</f>
        <v>33700000</v>
      </c>
    </row>
    <row r="33" s="240" customFormat="1"/>
    <row r="34" s="240" customFormat="1"/>
    <row r="35" s="240" customFormat="1"/>
    <row r="36" s="240" customFormat="1"/>
    <row r="37" s="240" customForma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C545-74C6-49C9-9B8B-B361A8D163F8}">
  <dimension ref="A1:K18"/>
  <sheetViews>
    <sheetView topLeftCell="A2" zoomScaleNormal="100" workbookViewId="0">
      <selection activeCell="F8" sqref="F8:F10"/>
    </sheetView>
  </sheetViews>
  <sheetFormatPr defaultColWidth="11.5703125" defaultRowHeight="15"/>
  <cols>
    <col min="1" max="1" width="20.140625" customWidth="1"/>
    <col min="2" max="2" width="25" customWidth="1"/>
    <col min="3" max="3" width="13" bestFit="1" customWidth="1"/>
    <col min="4" max="4" width="6" customWidth="1"/>
    <col min="6" max="6" width="30.42578125" customWidth="1"/>
    <col min="8" max="8" width="6.42578125" customWidth="1"/>
    <col min="10" max="10" width="24.28515625" customWidth="1"/>
  </cols>
  <sheetData>
    <row r="1" spans="1:11" ht="15.75" thickBot="1">
      <c r="A1" s="199" t="s">
        <v>428</v>
      </c>
      <c r="B1" s="200"/>
      <c r="C1" s="201"/>
    </row>
    <row r="2" spans="1:11" ht="90">
      <c r="A2" s="249" t="s">
        <v>61</v>
      </c>
      <c r="B2" s="200" t="s">
        <v>11</v>
      </c>
      <c r="C2" s="250" t="s">
        <v>5</v>
      </c>
    </row>
    <row r="3" spans="1:11">
      <c r="A3" s="249">
        <f>ENTRADAS!B36</f>
        <v>500000000</v>
      </c>
      <c r="B3" s="249">
        <f>ENTRADAS!B40</f>
        <v>30000000</v>
      </c>
      <c r="C3" s="249">
        <f>IF(B13=B9,C9,IF(B13=B8,C8,C10))</f>
        <v>4800000</v>
      </c>
    </row>
    <row r="4" spans="1:11">
      <c r="A4" s="249">
        <f>ENTRADAS!B37</f>
        <v>2000000000</v>
      </c>
      <c r="B4" s="249">
        <f>ENTRADAS!B41</f>
        <v>40000000</v>
      </c>
      <c r="C4" s="203">
        <f>IF(B13=F9,G9,IF(B13=F8,G8,G10))</f>
        <v>14900000</v>
      </c>
    </row>
    <row r="5" spans="1:11">
      <c r="A5" s="249">
        <f>ENTRADAS!B38</f>
        <v>5000000000</v>
      </c>
      <c r="B5" s="249">
        <f>ENTRADAS!B42</f>
        <v>55000000</v>
      </c>
      <c r="C5" s="203">
        <f>IF(B13=J9,K9,IF(B13=J8,K8,K10))</f>
        <v>33700000</v>
      </c>
    </row>
    <row r="7" spans="1:11">
      <c r="A7" s="249" t="s">
        <v>106</v>
      </c>
      <c r="B7" s="249" t="str">
        <f>ENTRADAS!B35</f>
        <v>Hasta COP 3.000.000.000</v>
      </c>
      <c r="E7" s="249" t="s">
        <v>106</v>
      </c>
      <c r="F7" s="249" t="str">
        <f>ENTRADAS!B35</f>
        <v>Hasta COP 3.000.000.000</v>
      </c>
      <c r="I7" s="249" t="s">
        <v>106</v>
      </c>
      <c r="J7" s="249" t="str">
        <f>ENTRADAS!B35</f>
        <v>Hasta COP 3.000.000.000</v>
      </c>
    </row>
    <row r="8" spans="1:11">
      <c r="A8" s="249" t="s">
        <v>75</v>
      </c>
      <c r="B8" s="249" t="s">
        <v>437</v>
      </c>
      <c r="C8" s="90">
        <f>_xlfn.XLOOKUP(B18,ABOGADOS!$F:$F,ABOGADOS!$E:$E)</f>
        <v>5100000</v>
      </c>
      <c r="E8" s="249" t="s">
        <v>75</v>
      </c>
      <c r="F8" s="249" t="s">
        <v>437</v>
      </c>
      <c r="G8" s="90">
        <f>_xlfn.XLOOKUP(F18,ABOGADOS!$F:$F,ABOGADOS!$E:$E)</f>
        <v>15600000</v>
      </c>
      <c r="I8" s="249" t="s">
        <v>75</v>
      </c>
      <c r="J8" s="249" t="s">
        <v>437</v>
      </c>
      <c r="K8" s="90">
        <f>_xlfn.XLOOKUP(J18,ABOGADOS!$F:$F,ABOGADOS!$E:$E)</f>
        <v>34890000</v>
      </c>
    </row>
    <row r="9" spans="1:11">
      <c r="A9" s="249"/>
      <c r="B9" s="249" t="s">
        <v>430</v>
      </c>
      <c r="C9" s="90">
        <f>_xlfn.XLOOKUP(B18,'ADMIN PH'!$F:$F,'ADMIN PH'!$E:$E)</f>
        <v>4200000</v>
      </c>
      <c r="E9" s="249"/>
      <c r="F9" s="249" t="s">
        <v>430</v>
      </c>
      <c r="G9" s="90">
        <f>_xlfn.XLOOKUP('busqueda pi'!F18,'ADMIN PH'!$F:$F,'ADMIN PH'!$E:$E)</f>
        <v>12900000</v>
      </c>
      <c r="I9" s="249"/>
      <c r="J9" s="249" t="s">
        <v>430</v>
      </c>
      <c r="K9" s="90">
        <f>_xlfn.XLOOKUP(J18,'ADMIN PH'!$F:$F,'ADMIN PH'!$E:$E)</f>
        <v>30150000</v>
      </c>
    </row>
    <row r="10" spans="1:11">
      <c r="A10" s="249"/>
      <c r="B10" s="249" t="s">
        <v>431</v>
      </c>
      <c r="C10" s="90">
        <f>_xlfn.XLOOKUP('busqueda pi'!B18,CONTADORES!$E:$E,CONTADORES!$D:$D)</f>
        <v>4800000</v>
      </c>
      <c r="E10" s="249"/>
      <c r="F10" s="249" t="s">
        <v>431</v>
      </c>
      <c r="G10" s="90">
        <f>_xlfn.XLOOKUP('busqueda pi'!F18,CONTADORES!$E:$E,CONTADORES!$D:$D)</f>
        <v>14900000</v>
      </c>
      <c r="I10" s="249"/>
      <c r="J10" s="249" t="s">
        <v>431</v>
      </c>
      <c r="K10" s="90">
        <f>_xlfn.XLOOKUP('busqueda pi'!J18,CONTADORES!$E:$E,CONTADORES!$D:$D)</f>
        <v>33700000</v>
      </c>
    </row>
    <row r="11" spans="1:11">
      <c r="C11" s="90"/>
    </row>
    <row r="13" spans="1:11">
      <c r="A13" t="s">
        <v>438</v>
      </c>
      <c r="B13" t="str">
        <f>ENTRADAS!B39</f>
        <v>CONTADORES</v>
      </c>
      <c r="C13" s="90">
        <f>VLOOKUP(B13,B8:C10,2,FALSE)</f>
        <v>4800000</v>
      </c>
    </row>
    <row r="14" spans="1:11">
      <c r="A14" t="s">
        <v>438</v>
      </c>
      <c r="B14" t="str">
        <f>B13</f>
        <v>CONTADORES</v>
      </c>
      <c r="C14" s="90">
        <f>VLOOKUP(B14,F8:G10,2,FALSE)</f>
        <v>14900000</v>
      </c>
    </row>
    <row r="15" spans="1:11">
      <c r="A15" t="s">
        <v>438</v>
      </c>
      <c r="B15" t="str">
        <f>B14</f>
        <v>CONTADORES</v>
      </c>
      <c r="C15" s="90">
        <f>VLOOKUP(B14,J8:K10,2,FALSE)</f>
        <v>33700000</v>
      </c>
    </row>
    <row r="16" spans="1:11">
      <c r="C16" s="90"/>
    </row>
    <row r="17" spans="2:10">
      <c r="B17" t="s">
        <v>443</v>
      </c>
      <c r="F17" t="s">
        <v>443</v>
      </c>
      <c r="J17" t="s">
        <v>443</v>
      </c>
    </row>
    <row r="18" spans="2:10">
      <c r="B18" t="str">
        <f>CONCATENATE(B7,B3,A3)</f>
        <v>Hasta COP 3.000.000.00030000000500000000</v>
      </c>
      <c r="F18" t="str">
        <f>CONCATENATE(B7,B4,A4)</f>
        <v>Hasta COP 3.000.000.000400000002000000000</v>
      </c>
      <c r="J18" t="str">
        <f>CONCATENATE(B7,B5,A5)</f>
        <v>Hasta COP 3.000.000.000550000005000000000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9F606-1E72-4243-9688-56330CD491C0}">
  <dimension ref="B4:O118"/>
  <sheetViews>
    <sheetView topLeftCell="A29" zoomScaleNormal="100" workbookViewId="0">
      <selection activeCell="F118" sqref="F118"/>
    </sheetView>
  </sheetViews>
  <sheetFormatPr defaultColWidth="11.42578125" defaultRowHeight="15"/>
  <cols>
    <col min="1" max="1" width="11.42578125" style="4"/>
    <col min="2" max="2" width="37.7109375" style="4" customWidth="1"/>
    <col min="3" max="3" width="29.7109375" style="4" bestFit="1" customWidth="1"/>
    <col min="4" max="4" width="31.5703125" style="3" customWidth="1"/>
    <col min="5" max="8" width="18.5703125" style="4" bestFit="1" customWidth="1"/>
    <col min="9" max="10" width="18.28515625" style="4" bestFit="1" customWidth="1"/>
    <col min="11" max="11" width="16.7109375" style="4" bestFit="1" customWidth="1"/>
    <col min="12" max="12" width="13.7109375" style="4" bestFit="1" customWidth="1"/>
    <col min="13" max="13" width="11.5703125" style="4" bestFit="1" customWidth="1"/>
    <col min="14" max="15" width="16.28515625" style="4" bestFit="1" customWidth="1"/>
    <col min="16" max="16384" width="11.42578125" style="4"/>
  </cols>
  <sheetData>
    <row r="4" spans="2:8">
      <c r="B4" s="1" t="s">
        <v>13</v>
      </c>
      <c r="C4" s="242"/>
    </row>
    <row r="5" spans="2:8">
      <c r="C5" s="242"/>
    </row>
    <row r="6" spans="2:8">
      <c r="B6" s="5" t="s">
        <v>432</v>
      </c>
      <c r="C6" s="242"/>
      <c r="D6" s="243"/>
      <c r="E6" s="244"/>
      <c r="F6" s="244"/>
      <c r="G6" s="244"/>
      <c r="H6" s="244"/>
    </row>
    <row r="7" spans="2:8">
      <c r="B7" s="5" t="s">
        <v>433</v>
      </c>
      <c r="C7" s="242"/>
      <c r="D7" s="243"/>
      <c r="E7" s="244"/>
      <c r="F7" s="244"/>
      <c r="G7" s="244"/>
      <c r="H7" s="244"/>
    </row>
    <row r="8" spans="2:8">
      <c r="B8" s="5" t="s">
        <v>434</v>
      </c>
      <c r="C8" s="242"/>
      <c r="D8" s="243"/>
      <c r="E8" s="244"/>
      <c r="F8" s="244"/>
      <c r="G8" s="244"/>
      <c r="H8" s="244"/>
    </row>
    <row r="9" spans="2:8">
      <c r="B9" s="5" t="s">
        <v>435</v>
      </c>
      <c r="C9" s="242"/>
      <c r="D9" s="243"/>
      <c r="E9" s="244"/>
      <c r="F9" s="244"/>
      <c r="G9" s="244"/>
      <c r="H9" s="244"/>
    </row>
    <row r="10" spans="2:8">
      <c r="B10" s="5" t="s">
        <v>97</v>
      </c>
      <c r="C10" s="242"/>
      <c r="D10" s="243"/>
      <c r="E10" s="244"/>
      <c r="F10" s="244"/>
      <c r="G10" s="244"/>
      <c r="H10" s="244"/>
    </row>
    <row r="11" spans="2:8">
      <c r="B11" s="5" t="s">
        <v>16</v>
      </c>
      <c r="C11" s="242"/>
      <c r="D11" s="243"/>
      <c r="E11" s="244"/>
      <c r="F11" s="244"/>
      <c r="G11" s="244"/>
      <c r="H11" s="244"/>
    </row>
    <row r="12" spans="2:8">
      <c r="E12" s="244"/>
      <c r="F12" s="244"/>
      <c r="G12" s="244"/>
      <c r="H12" s="244"/>
    </row>
    <row r="13" spans="2:8">
      <c r="B13" s="8" t="s">
        <v>23</v>
      </c>
      <c r="C13" s="242"/>
      <c r="D13" s="242"/>
      <c r="E13" s="244"/>
      <c r="F13" s="244"/>
      <c r="G13" s="244"/>
      <c r="H13" s="244"/>
    </row>
    <row r="14" spans="2:8">
      <c r="B14" s="241">
        <v>500000000</v>
      </c>
      <c r="C14" s="242"/>
      <c r="D14" s="242"/>
      <c r="E14" s="242"/>
      <c r="F14" s="244"/>
      <c r="G14" s="244"/>
      <c r="H14" s="244"/>
    </row>
    <row r="15" spans="2:8">
      <c r="B15" s="241">
        <v>1000000000</v>
      </c>
      <c r="C15" s="242"/>
      <c r="D15" s="242"/>
      <c r="E15" s="242"/>
      <c r="F15" s="244"/>
      <c r="G15" s="244"/>
      <c r="H15" s="244"/>
    </row>
    <row r="16" spans="2:8">
      <c r="B16" s="241">
        <v>1500000000</v>
      </c>
      <c r="C16" s="242"/>
      <c r="D16" s="242"/>
      <c r="E16" s="242"/>
      <c r="F16" s="244"/>
      <c r="G16" s="244"/>
      <c r="H16" s="244"/>
    </row>
    <row r="17" spans="2:10">
      <c r="B17" s="241">
        <v>2000000000</v>
      </c>
      <c r="C17" s="242"/>
      <c r="D17" s="242"/>
      <c r="E17" s="242"/>
      <c r="F17" s="244"/>
      <c r="G17" s="244"/>
      <c r="H17" s="244"/>
    </row>
    <row r="18" spans="2:10">
      <c r="B18" s="241">
        <v>3000000000</v>
      </c>
      <c r="C18" s="242"/>
      <c r="D18" s="242"/>
      <c r="E18" s="242"/>
      <c r="F18" s="244"/>
      <c r="G18" s="244"/>
      <c r="H18" s="244"/>
    </row>
    <row r="19" spans="2:10">
      <c r="B19" s="241">
        <v>4000000000</v>
      </c>
      <c r="C19" s="242"/>
      <c r="D19" s="242"/>
      <c r="E19" s="242"/>
      <c r="F19" s="244"/>
      <c r="G19" s="244"/>
      <c r="H19" s="244"/>
    </row>
    <row r="20" spans="2:10">
      <c r="B20" s="241">
        <v>5000000000</v>
      </c>
      <c r="C20" s="242"/>
      <c r="D20" s="242"/>
      <c r="E20" s="242"/>
      <c r="F20" s="244"/>
      <c r="G20" s="244"/>
      <c r="H20" s="244"/>
    </row>
    <row r="21" spans="2:10">
      <c r="C21" s="242"/>
      <c r="D21" s="242"/>
    </row>
    <row r="24" spans="2:10">
      <c r="D24" s="252"/>
      <c r="E24" s="253"/>
      <c r="F24" s="253"/>
      <c r="G24" s="253"/>
      <c r="H24" s="253"/>
      <c r="I24" s="253"/>
      <c r="J24" s="253"/>
    </row>
    <row r="25" spans="2:10">
      <c r="D25" s="252"/>
      <c r="E25" s="252"/>
      <c r="F25" s="252"/>
      <c r="G25" s="252"/>
      <c r="H25" s="252"/>
      <c r="I25" s="252"/>
      <c r="J25" s="252"/>
    </row>
    <row r="27" spans="2:10">
      <c r="C27" s="254"/>
    </row>
    <row r="28" spans="2:10">
      <c r="D28" s="4"/>
    </row>
    <row r="29" spans="2:10">
      <c r="D29" s="4"/>
    </row>
    <row r="30" spans="2:10">
      <c r="D30" s="4"/>
    </row>
    <row r="33" spans="2:15">
      <c r="C33" s="251" t="s">
        <v>432</v>
      </c>
      <c r="D33" s="251"/>
      <c r="E33" s="251"/>
      <c r="F33" s="251"/>
      <c r="G33" s="251"/>
      <c r="H33" s="251"/>
      <c r="I33" s="251"/>
      <c r="J33" s="251"/>
      <c r="K33" s="251"/>
      <c r="L33" s="251"/>
      <c r="M33" s="251"/>
      <c r="N33" s="251"/>
      <c r="O33" s="251"/>
    </row>
    <row r="34" spans="2:15">
      <c r="C34" s="4" t="s">
        <v>11</v>
      </c>
      <c r="D34" s="3" t="s">
        <v>436</v>
      </c>
      <c r="E34" s="4" t="s">
        <v>65</v>
      </c>
      <c r="K34" s="3"/>
    </row>
    <row r="35" spans="2:15">
      <c r="B35" s="251" t="s">
        <v>432</v>
      </c>
      <c r="C35" s="242">
        <v>30000000</v>
      </c>
      <c r="D35" s="247">
        <v>500000000</v>
      </c>
      <c r="E35" s="242">
        <v>5100000</v>
      </c>
      <c r="F35" s="242" t="str">
        <f>CONCATENATE(B35,C35,D35)</f>
        <v>Hasta COP 3.000.000.00030000000500000000</v>
      </c>
      <c r="J35" s="242"/>
      <c r="K35" s="247"/>
      <c r="L35" s="242"/>
      <c r="M35" s="242"/>
    </row>
    <row r="36" spans="2:15">
      <c r="B36" s="251" t="s">
        <v>432</v>
      </c>
      <c r="C36" s="242">
        <v>30000000</v>
      </c>
      <c r="D36" s="247">
        <v>1000000000</v>
      </c>
      <c r="E36" s="242">
        <v>8900000</v>
      </c>
      <c r="F36" s="242" t="str">
        <f t="shared" ref="F36:F99" si="0">CONCATENATE(B36,C36,D36)</f>
        <v>Hasta COP 3.000.000.000300000001000000000</v>
      </c>
      <c r="G36" s="117"/>
      <c r="H36" s="117"/>
      <c r="J36" s="242"/>
      <c r="K36" s="247"/>
      <c r="L36" s="242"/>
      <c r="M36" s="242"/>
      <c r="N36" s="117"/>
      <c r="O36" s="117"/>
    </row>
    <row r="37" spans="2:15">
      <c r="B37" s="251" t="s">
        <v>432</v>
      </c>
      <c r="C37" s="242">
        <v>30000000</v>
      </c>
      <c r="D37" s="247">
        <v>1500000000</v>
      </c>
      <c r="E37" s="242">
        <v>12750000</v>
      </c>
      <c r="F37" s="242" t="str">
        <f t="shared" si="0"/>
        <v>Hasta COP 3.000.000.000300000001500000000</v>
      </c>
      <c r="G37" s="117"/>
      <c r="H37" s="117"/>
      <c r="J37" s="242"/>
      <c r="K37" s="247"/>
      <c r="L37" s="242"/>
      <c r="M37" s="242"/>
      <c r="N37" s="117"/>
      <c r="O37" s="117"/>
    </row>
    <row r="38" spans="2:15">
      <c r="B38" s="251" t="s">
        <v>432</v>
      </c>
      <c r="C38" s="242">
        <v>40000000</v>
      </c>
      <c r="D38" s="247">
        <v>2000000000</v>
      </c>
      <c r="E38" s="242">
        <v>15600000</v>
      </c>
      <c r="F38" s="242" t="str">
        <f t="shared" si="0"/>
        <v>Hasta COP 3.000.000.000400000002000000000</v>
      </c>
      <c r="G38" s="117"/>
      <c r="H38" s="117"/>
      <c r="J38" s="242"/>
      <c r="K38" s="247"/>
      <c r="L38" s="242"/>
      <c r="M38" s="242"/>
      <c r="N38" s="117"/>
      <c r="O38" s="117"/>
    </row>
    <row r="39" spans="2:15">
      <c r="B39" s="251" t="s">
        <v>432</v>
      </c>
      <c r="C39" s="242">
        <v>40000000</v>
      </c>
      <c r="D39" s="247">
        <v>3000000000</v>
      </c>
      <c r="E39" s="242">
        <v>22100000</v>
      </c>
      <c r="F39" s="242" t="str">
        <f t="shared" si="0"/>
        <v>Hasta COP 3.000.000.000400000003000000000</v>
      </c>
      <c r="G39" s="117"/>
      <c r="H39" s="117"/>
      <c r="J39" s="242"/>
      <c r="K39" s="247"/>
      <c r="L39" s="242"/>
      <c r="M39" s="242"/>
      <c r="N39" s="117"/>
      <c r="O39" s="117"/>
    </row>
    <row r="40" spans="2:15">
      <c r="B40" s="251" t="s">
        <v>432</v>
      </c>
      <c r="C40" s="242">
        <v>45000000</v>
      </c>
      <c r="D40" s="247">
        <v>4000000000</v>
      </c>
      <c r="E40" s="242">
        <v>28950000</v>
      </c>
      <c r="F40" s="242" t="str">
        <f t="shared" si="0"/>
        <v>Hasta COP 3.000.000.000450000004000000000</v>
      </c>
      <c r="G40" s="117"/>
      <c r="H40" s="117"/>
      <c r="J40" s="242"/>
      <c r="K40" s="247"/>
      <c r="L40" s="242"/>
      <c r="M40" s="242"/>
      <c r="N40" s="117"/>
      <c r="O40" s="117"/>
    </row>
    <row r="41" spans="2:15">
      <c r="B41" s="251" t="s">
        <v>432</v>
      </c>
      <c r="C41" s="242">
        <v>55000000</v>
      </c>
      <c r="D41" s="247">
        <v>5000000000</v>
      </c>
      <c r="E41" s="242">
        <v>34890000</v>
      </c>
      <c r="F41" s="242" t="str">
        <f t="shared" si="0"/>
        <v>Hasta COP 3.000.000.000550000005000000000</v>
      </c>
      <c r="G41" s="117"/>
      <c r="H41" s="117"/>
      <c r="J41" s="242"/>
      <c r="K41" s="247"/>
      <c r="L41" s="242"/>
      <c r="M41" s="242"/>
      <c r="N41" s="117"/>
      <c r="O41" s="117"/>
    </row>
    <row r="42" spans="2:15">
      <c r="B42" s="251" t="s">
        <v>432</v>
      </c>
      <c r="C42" s="242">
        <v>40000000</v>
      </c>
      <c r="D42" s="247">
        <v>500000000</v>
      </c>
      <c r="E42" s="242">
        <v>4500000</v>
      </c>
      <c r="F42" s="242" t="str">
        <f t="shared" si="0"/>
        <v>Hasta COP 3.000.000.00040000000500000000</v>
      </c>
      <c r="K42" s="247"/>
    </row>
    <row r="43" spans="2:15">
      <c r="B43" s="251" t="s">
        <v>432</v>
      </c>
      <c r="C43" s="242">
        <v>40000000</v>
      </c>
      <c r="D43" s="247">
        <v>1000000000</v>
      </c>
      <c r="E43" s="242">
        <v>8350000</v>
      </c>
      <c r="F43" s="242" t="str">
        <f t="shared" si="0"/>
        <v>Hasta COP 3.000.000.000400000001000000000</v>
      </c>
      <c r="K43" s="247"/>
    </row>
    <row r="44" spans="2:15">
      <c r="B44" s="251" t="s">
        <v>432</v>
      </c>
      <c r="C44" s="242">
        <v>40000000</v>
      </c>
      <c r="D44" s="247">
        <v>1500000000</v>
      </c>
      <c r="E44" s="242">
        <v>12100000</v>
      </c>
      <c r="F44" s="242" t="str">
        <f t="shared" si="0"/>
        <v>Hasta COP 3.000.000.000400000001500000000</v>
      </c>
      <c r="K44" s="247"/>
    </row>
    <row r="45" spans="2:15">
      <c r="B45" s="251" t="s">
        <v>432</v>
      </c>
      <c r="C45" s="242">
        <v>55000000</v>
      </c>
      <c r="D45" s="247">
        <v>2000000000</v>
      </c>
      <c r="E45" s="242">
        <v>14600000</v>
      </c>
      <c r="F45" s="242" t="str">
        <f t="shared" si="0"/>
        <v>Hasta COP 3.000.000.000550000002000000000</v>
      </c>
      <c r="K45" s="247"/>
    </row>
    <row r="46" spans="2:15">
      <c r="B46" s="251" t="s">
        <v>432</v>
      </c>
      <c r="C46" s="242">
        <v>55000000</v>
      </c>
      <c r="D46" s="247">
        <v>3000000000</v>
      </c>
      <c r="E46" s="242">
        <v>20300000</v>
      </c>
      <c r="F46" s="242" t="str">
        <f t="shared" si="0"/>
        <v>Hasta COP 3.000.000.000550000003000000000</v>
      </c>
      <c r="K46" s="247"/>
    </row>
    <row r="47" spans="2:15">
      <c r="B47" s="251" t="s">
        <v>432</v>
      </c>
      <c r="C47" s="242">
        <v>60000000</v>
      </c>
      <c r="D47" s="247">
        <v>4000000000</v>
      </c>
      <c r="E47" s="242">
        <v>26300000</v>
      </c>
      <c r="F47" s="242" t="str">
        <f t="shared" si="0"/>
        <v>Hasta COP 3.000.000.000600000004000000000</v>
      </c>
      <c r="K47" s="247"/>
    </row>
    <row r="48" spans="2:15">
      <c r="B48" s="251" t="s">
        <v>432</v>
      </c>
      <c r="C48" s="242">
        <v>60000000</v>
      </c>
      <c r="D48" s="247">
        <v>5000000000</v>
      </c>
      <c r="E48" s="242">
        <v>31600000</v>
      </c>
      <c r="F48" s="242" t="str">
        <f t="shared" si="0"/>
        <v>Hasta COP 3.000.000.000600000005000000000</v>
      </c>
      <c r="K48" s="247"/>
    </row>
    <row r="49" spans="2:15">
      <c r="B49" s="251" t="s">
        <v>433</v>
      </c>
      <c r="C49" s="242">
        <v>30000000</v>
      </c>
      <c r="D49" s="247">
        <v>500000000</v>
      </c>
      <c r="E49" s="242">
        <v>5278500</v>
      </c>
      <c r="F49" s="242" t="str">
        <f t="shared" si="0"/>
        <v>Hasta COP 5.000.000.00030000000500000000</v>
      </c>
      <c r="G49" s="251"/>
      <c r="H49" s="251"/>
      <c r="I49" s="251"/>
      <c r="J49" s="251"/>
      <c r="K49" s="251"/>
      <c r="L49" s="251"/>
      <c r="M49" s="251"/>
      <c r="N49" s="251"/>
    </row>
    <row r="50" spans="2:15">
      <c r="B50" s="251" t="s">
        <v>433</v>
      </c>
      <c r="C50" s="242">
        <v>30000000</v>
      </c>
      <c r="D50" s="247">
        <v>1000000000</v>
      </c>
      <c r="E50" s="242">
        <v>9238200</v>
      </c>
      <c r="F50" s="242" t="str">
        <f t="shared" si="0"/>
        <v>Hasta COP 5.000.000.000300000001000000000</v>
      </c>
      <c r="K50" s="247"/>
    </row>
    <row r="51" spans="2:15">
      <c r="B51" s="251" t="s">
        <v>433</v>
      </c>
      <c r="C51" s="242">
        <v>30000000</v>
      </c>
      <c r="D51" s="247">
        <v>1500000000</v>
      </c>
      <c r="E51" s="242">
        <v>13272750</v>
      </c>
      <c r="F51" s="242" t="str">
        <f t="shared" si="0"/>
        <v>Hasta COP 5.000.000.000300000001500000000</v>
      </c>
      <c r="K51" s="247"/>
    </row>
    <row r="52" spans="2:15">
      <c r="B52" s="251" t="s">
        <v>433</v>
      </c>
      <c r="C52" s="242">
        <v>40000000</v>
      </c>
      <c r="D52" s="247">
        <v>2000000000</v>
      </c>
      <c r="E52" s="242">
        <v>16270800</v>
      </c>
      <c r="F52" s="242" t="str">
        <f t="shared" si="0"/>
        <v>Hasta COP 5.000.000.000400000002000000000</v>
      </c>
      <c r="K52" s="247"/>
    </row>
    <row r="53" spans="2:15">
      <c r="B53" s="251" t="s">
        <v>433</v>
      </c>
      <c r="C53" s="242">
        <v>40000000</v>
      </c>
      <c r="D53" s="247">
        <v>3000000000</v>
      </c>
      <c r="E53" s="242">
        <v>23094500</v>
      </c>
      <c r="F53" s="242" t="str">
        <f t="shared" si="0"/>
        <v>Hasta COP 5.000.000.000400000003000000000</v>
      </c>
      <c r="K53" s="247"/>
    </row>
    <row r="54" spans="2:15">
      <c r="B54" s="251" t="s">
        <v>433</v>
      </c>
      <c r="C54" s="242">
        <v>45000000</v>
      </c>
      <c r="D54" s="247">
        <v>4000000000</v>
      </c>
      <c r="E54" s="242">
        <v>30310650</v>
      </c>
      <c r="F54" s="242" t="str">
        <f t="shared" si="0"/>
        <v>Hasta COP 5.000.000.000450000004000000000</v>
      </c>
      <c r="K54" s="247"/>
    </row>
    <row r="55" spans="2:15">
      <c r="B55" s="251" t="s">
        <v>433</v>
      </c>
      <c r="C55" s="242">
        <v>55000000</v>
      </c>
      <c r="D55" s="247">
        <v>5000000000</v>
      </c>
      <c r="E55" s="242">
        <v>36634500</v>
      </c>
      <c r="F55" s="242" t="str">
        <f t="shared" si="0"/>
        <v>Hasta COP 5.000.000.000550000005000000000</v>
      </c>
      <c r="K55" s="3"/>
    </row>
    <row r="56" spans="2:15">
      <c r="B56" s="251" t="s">
        <v>433</v>
      </c>
      <c r="C56" s="242">
        <v>40000000</v>
      </c>
      <c r="D56" s="247">
        <v>500000000</v>
      </c>
      <c r="E56" s="242">
        <v>4657500</v>
      </c>
      <c r="F56" s="242" t="str">
        <f t="shared" si="0"/>
        <v>Hasta COP 5.000.000.00040000000500000000</v>
      </c>
      <c r="K56" s="3"/>
    </row>
    <row r="57" spans="2:15">
      <c r="B57" s="251" t="s">
        <v>433</v>
      </c>
      <c r="C57" s="242">
        <v>40000000</v>
      </c>
      <c r="D57" s="247">
        <v>1000000000</v>
      </c>
      <c r="E57" s="242">
        <v>8667300</v>
      </c>
      <c r="F57" s="242" t="str">
        <f t="shared" si="0"/>
        <v>Hasta COP 5.000.000.000400000001000000000</v>
      </c>
      <c r="G57" s="251"/>
      <c r="H57" s="251"/>
      <c r="I57" s="251"/>
      <c r="J57" s="251"/>
      <c r="K57" s="251"/>
      <c r="L57" s="251"/>
      <c r="M57" s="251"/>
      <c r="N57" s="251"/>
      <c r="O57" s="251"/>
    </row>
    <row r="58" spans="2:15">
      <c r="B58" s="251" t="s">
        <v>433</v>
      </c>
      <c r="C58" s="242">
        <v>40000000</v>
      </c>
      <c r="D58" s="247">
        <v>1500000000</v>
      </c>
      <c r="E58" s="242">
        <v>12596100</v>
      </c>
      <c r="F58" s="242" t="str">
        <f t="shared" si="0"/>
        <v>Hasta COP 5.000.000.000400000001500000000</v>
      </c>
      <c r="K58" s="3"/>
    </row>
    <row r="59" spans="2:15">
      <c r="B59" s="251" t="s">
        <v>433</v>
      </c>
      <c r="C59" s="242">
        <v>55000000</v>
      </c>
      <c r="D59" s="247">
        <v>2000000000</v>
      </c>
      <c r="E59" s="242">
        <v>15227800</v>
      </c>
      <c r="F59" s="242" t="str">
        <f t="shared" si="0"/>
        <v>Hasta COP 5.000.000.000550000002000000000</v>
      </c>
      <c r="J59" s="242"/>
      <c r="K59" s="247"/>
      <c r="L59" s="242"/>
      <c r="M59" s="242"/>
    </row>
    <row r="60" spans="2:15">
      <c r="B60" s="251" t="s">
        <v>433</v>
      </c>
      <c r="C60" s="242">
        <v>55000000</v>
      </c>
      <c r="D60" s="247">
        <v>3000000000</v>
      </c>
      <c r="E60" s="242">
        <v>21213500</v>
      </c>
      <c r="F60" s="242" t="str">
        <f t="shared" si="0"/>
        <v>Hasta COP 5.000.000.000550000003000000000</v>
      </c>
      <c r="G60" s="117"/>
      <c r="H60" s="117"/>
      <c r="J60" s="242"/>
      <c r="K60" s="247"/>
      <c r="L60" s="242"/>
      <c r="M60" s="242"/>
      <c r="N60" s="117"/>
      <c r="O60" s="117"/>
    </row>
    <row r="61" spans="2:15">
      <c r="B61" s="251" t="s">
        <v>433</v>
      </c>
      <c r="C61" s="242">
        <v>60000000</v>
      </c>
      <c r="D61" s="247">
        <v>4000000000</v>
      </c>
      <c r="E61" s="242">
        <v>27536100</v>
      </c>
      <c r="F61" s="242" t="str">
        <f t="shared" si="0"/>
        <v>Hasta COP 5.000.000.000600000004000000000</v>
      </c>
      <c r="G61" s="117"/>
      <c r="H61" s="117"/>
      <c r="J61" s="242"/>
      <c r="K61" s="247"/>
      <c r="L61" s="242"/>
      <c r="M61" s="242"/>
      <c r="N61" s="117"/>
      <c r="O61" s="117"/>
    </row>
    <row r="62" spans="2:15">
      <c r="B62" s="251" t="s">
        <v>433</v>
      </c>
      <c r="C62" s="242">
        <v>60000000</v>
      </c>
      <c r="D62" s="247">
        <v>5000000000</v>
      </c>
      <c r="E62" s="242">
        <v>33180000</v>
      </c>
      <c r="F62" s="242" t="str">
        <f t="shared" si="0"/>
        <v>Hasta COP 5.000.000.000600000005000000000</v>
      </c>
      <c r="G62" s="117"/>
      <c r="H62" s="117"/>
      <c r="J62" s="242"/>
      <c r="K62" s="247"/>
      <c r="L62" s="242"/>
      <c r="M62" s="242"/>
      <c r="N62" s="117"/>
      <c r="O62" s="117"/>
    </row>
    <row r="63" spans="2:15">
      <c r="B63" s="251" t="s">
        <v>434</v>
      </c>
      <c r="C63" s="242">
        <v>30000000</v>
      </c>
      <c r="D63" s="247">
        <v>500000000</v>
      </c>
      <c r="E63" s="242">
        <v>5489640</v>
      </c>
      <c r="F63" s="242" t="str">
        <f t="shared" si="0"/>
        <v>Hasta COP 7.500.000.00030000000500000000</v>
      </c>
      <c r="G63" s="117"/>
      <c r="H63" s="117"/>
      <c r="J63" s="242"/>
      <c r="K63" s="247"/>
      <c r="L63" s="242"/>
      <c r="M63" s="242"/>
      <c r="N63" s="117"/>
      <c r="O63" s="117"/>
    </row>
    <row r="64" spans="2:15">
      <c r="B64" s="251" t="s">
        <v>434</v>
      </c>
      <c r="C64" s="242">
        <v>30000000</v>
      </c>
      <c r="D64" s="247">
        <v>1000000000</v>
      </c>
      <c r="E64" s="242">
        <v>9616966.1999999993</v>
      </c>
      <c r="F64" s="242" t="str">
        <f t="shared" si="0"/>
        <v>Hasta COP 7.500.000.000300000001000000000</v>
      </c>
      <c r="G64" s="117"/>
      <c r="H64" s="117"/>
      <c r="J64" s="242"/>
      <c r="K64" s="247"/>
      <c r="L64" s="242"/>
      <c r="M64" s="242"/>
      <c r="N64" s="117"/>
      <c r="O64" s="117"/>
    </row>
    <row r="65" spans="2:15">
      <c r="B65" s="251" t="s">
        <v>434</v>
      </c>
      <c r="C65" s="242">
        <v>30000000</v>
      </c>
      <c r="D65" s="247">
        <v>1500000000</v>
      </c>
      <c r="E65" s="242">
        <v>13830205.5</v>
      </c>
      <c r="F65" s="242" t="str">
        <f t="shared" si="0"/>
        <v>Hasta COP 7.500.000.000300000001500000000</v>
      </c>
      <c r="G65" s="117"/>
      <c r="H65" s="117"/>
      <c r="J65" s="242"/>
      <c r="K65" s="247"/>
      <c r="L65" s="242"/>
      <c r="M65" s="242"/>
      <c r="N65" s="117"/>
      <c r="O65" s="117"/>
    </row>
    <row r="66" spans="2:15">
      <c r="B66" s="251" t="s">
        <v>434</v>
      </c>
      <c r="C66" s="242">
        <v>40000000</v>
      </c>
      <c r="D66" s="247">
        <v>2000000000</v>
      </c>
      <c r="E66" s="242">
        <v>16970444.399999999</v>
      </c>
      <c r="F66" s="242" t="str">
        <f t="shared" si="0"/>
        <v>Hasta COP 7.500.000.000400000002000000000</v>
      </c>
      <c r="K66" s="3"/>
    </row>
    <row r="67" spans="2:15">
      <c r="B67" s="251" t="s">
        <v>434</v>
      </c>
      <c r="C67" s="242">
        <v>40000000</v>
      </c>
      <c r="D67" s="247">
        <v>3000000000</v>
      </c>
      <c r="E67" s="242">
        <v>24133752.5</v>
      </c>
      <c r="F67" s="242" t="str">
        <f t="shared" si="0"/>
        <v>Hasta COP 7.500.000.000400000003000000000</v>
      </c>
      <c r="K67" s="3"/>
    </row>
    <row r="68" spans="2:15">
      <c r="B68" s="251" t="s">
        <v>434</v>
      </c>
      <c r="C68" s="242">
        <v>45000000</v>
      </c>
      <c r="D68" s="247">
        <v>4000000000</v>
      </c>
      <c r="E68" s="242">
        <v>31704939.899999999</v>
      </c>
      <c r="F68" s="242" t="str">
        <f t="shared" si="0"/>
        <v>Hasta COP 7.500.000.000450000004000000000</v>
      </c>
      <c r="K68" s="3"/>
    </row>
    <row r="69" spans="2:15">
      <c r="B69" s="251" t="s">
        <v>434</v>
      </c>
      <c r="C69" s="242">
        <v>55000000</v>
      </c>
      <c r="D69" s="247">
        <v>5000000000</v>
      </c>
      <c r="E69" s="242">
        <v>38356321.5</v>
      </c>
      <c r="F69" s="242" t="str">
        <f t="shared" si="0"/>
        <v>Hasta COP 7.500.000.000550000005000000000</v>
      </c>
      <c r="G69" s="251"/>
      <c r="H69" s="251"/>
      <c r="I69" s="251"/>
      <c r="J69" s="251"/>
      <c r="K69" s="251"/>
      <c r="L69" s="251"/>
      <c r="M69" s="251"/>
      <c r="N69" s="251"/>
      <c r="O69" s="251"/>
    </row>
    <row r="70" spans="2:15">
      <c r="B70" s="251" t="s">
        <v>434</v>
      </c>
      <c r="C70" s="242">
        <v>40000000</v>
      </c>
      <c r="D70" s="247">
        <v>500000000</v>
      </c>
      <c r="E70" s="242">
        <v>4843800</v>
      </c>
      <c r="F70" s="242" t="str">
        <f t="shared" si="0"/>
        <v>Hasta COP 7.500.000.00040000000500000000</v>
      </c>
      <c r="J70" s="3"/>
    </row>
    <row r="71" spans="2:15">
      <c r="B71" s="251" t="s">
        <v>434</v>
      </c>
      <c r="C71" s="242">
        <v>40000000</v>
      </c>
      <c r="D71" s="247">
        <v>1000000000</v>
      </c>
      <c r="E71" s="242">
        <v>9022659.3000000007</v>
      </c>
      <c r="F71" s="242" t="str">
        <f t="shared" si="0"/>
        <v>Hasta COP 7.500.000.000400000001000000000</v>
      </c>
      <c r="J71" s="242"/>
      <c r="K71" s="247"/>
      <c r="L71" s="242"/>
      <c r="M71" s="242"/>
    </row>
    <row r="72" spans="2:15">
      <c r="B72" s="251" t="s">
        <v>434</v>
      </c>
      <c r="C72" s="242">
        <v>40000000</v>
      </c>
      <c r="D72" s="247">
        <v>1500000000</v>
      </c>
      <c r="E72" s="242">
        <v>13125136.199999999</v>
      </c>
      <c r="F72" s="242" t="str">
        <f t="shared" si="0"/>
        <v>Hasta COP 7.500.000.000400000001500000000</v>
      </c>
      <c r="G72" s="117"/>
      <c r="H72" s="117"/>
      <c r="J72" s="242"/>
      <c r="K72" s="247"/>
      <c r="L72" s="242"/>
      <c r="M72" s="242"/>
      <c r="N72" s="117"/>
      <c r="O72" s="117"/>
    </row>
    <row r="73" spans="2:15">
      <c r="B73" s="251" t="s">
        <v>434</v>
      </c>
      <c r="C73" s="242">
        <v>55000000</v>
      </c>
      <c r="D73" s="247">
        <v>2000000000</v>
      </c>
      <c r="E73" s="242">
        <v>15882595.4</v>
      </c>
      <c r="F73" s="242" t="str">
        <f t="shared" si="0"/>
        <v>Hasta COP 7.500.000.000550000002000000000</v>
      </c>
      <c r="G73" s="117"/>
      <c r="H73" s="117"/>
      <c r="J73" s="242"/>
      <c r="K73" s="247"/>
      <c r="L73" s="242"/>
      <c r="M73" s="242"/>
      <c r="N73" s="117"/>
      <c r="O73" s="117"/>
    </row>
    <row r="74" spans="2:15">
      <c r="B74" s="251" t="s">
        <v>434</v>
      </c>
      <c r="C74" s="242">
        <v>55000000</v>
      </c>
      <c r="D74" s="247">
        <v>3000000000</v>
      </c>
      <c r="E74" s="242">
        <v>22168107.5</v>
      </c>
      <c r="F74" s="242" t="str">
        <f t="shared" si="0"/>
        <v>Hasta COP 7.500.000.000550000003000000000</v>
      </c>
      <c r="G74" s="117"/>
      <c r="H74" s="117"/>
      <c r="J74" s="242"/>
      <c r="K74" s="247"/>
      <c r="L74" s="242"/>
      <c r="M74" s="242"/>
      <c r="N74" s="117"/>
      <c r="O74" s="117"/>
    </row>
    <row r="75" spans="2:15">
      <c r="B75" s="251" t="s">
        <v>434</v>
      </c>
      <c r="C75" s="242">
        <v>60000000</v>
      </c>
      <c r="D75" s="247">
        <v>4000000000</v>
      </c>
      <c r="E75" s="242">
        <v>28802760.600000001</v>
      </c>
      <c r="F75" s="242" t="str">
        <f t="shared" si="0"/>
        <v>Hasta COP 7.500.000.000600000004000000000</v>
      </c>
      <c r="G75" s="117"/>
      <c r="H75" s="117"/>
      <c r="J75" s="242"/>
      <c r="K75" s="247"/>
      <c r="L75" s="242"/>
      <c r="M75" s="242"/>
      <c r="N75" s="117"/>
      <c r="O75" s="117"/>
    </row>
    <row r="76" spans="2:15">
      <c r="B76" s="251" t="s">
        <v>434</v>
      </c>
      <c r="C76" s="242">
        <v>60000000</v>
      </c>
      <c r="D76" s="247">
        <v>5000000000</v>
      </c>
      <c r="E76" s="242">
        <v>34739460</v>
      </c>
      <c r="F76" s="242" t="str">
        <f t="shared" si="0"/>
        <v>Hasta COP 7.500.000.000600000005000000000</v>
      </c>
      <c r="G76" s="117"/>
      <c r="H76" s="117"/>
      <c r="J76" s="242"/>
      <c r="K76" s="247"/>
      <c r="L76" s="242"/>
      <c r="M76" s="242"/>
      <c r="N76" s="117"/>
      <c r="O76" s="117"/>
    </row>
    <row r="77" spans="2:15">
      <c r="B77" s="251" t="s">
        <v>435</v>
      </c>
      <c r="C77" s="242">
        <v>30000000</v>
      </c>
      <c r="D77" s="247">
        <v>500000000</v>
      </c>
      <c r="E77" s="242">
        <v>5709225.5999999996</v>
      </c>
      <c r="F77" s="242" t="str">
        <f t="shared" si="0"/>
        <v>Hasta COP 10.000.000.00030000000500000000</v>
      </c>
      <c r="G77" s="117"/>
      <c r="H77" s="117"/>
      <c r="J77" s="242"/>
      <c r="K77" s="247"/>
      <c r="L77" s="242"/>
      <c r="M77" s="242"/>
      <c r="N77" s="117"/>
      <c r="O77" s="117"/>
    </row>
    <row r="78" spans="2:15">
      <c r="B78" s="251" t="s">
        <v>435</v>
      </c>
      <c r="C78" s="242">
        <v>30000000</v>
      </c>
      <c r="D78" s="247">
        <v>1000000000</v>
      </c>
      <c r="E78" s="242">
        <v>10001644.847999999</v>
      </c>
      <c r="F78" s="242" t="str">
        <f t="shared" si="0"/>
        <v>Hasta COP 10.000.000.000300000001000000000</v>
      </c>
      <c r="K78" s="3"/>
    </row>
    <row r="79" spans="2:15">
      <c r="B79" s="251" t="s">
        <v>435</v>
      </c>
      <c r="C79" s="242">
        <v>30000000</v>
      </c>
      <c r="D79" s="247">
        <v>1500000000</v>
      </c>
      <c r="E79" s="242">
        <v>14411074.131000001</v>
      </c>
      <c r="F79" s="242" t="str">
        <f t="shared" si="0"/>
        <v>Hasta COP 10.000.000.000300000001500000000</v>
      </c>
      <c r="K79" s="3"/>
    </row>
    <row r="80" spans="2:15">
      <c r="B80" s="251" t="s">
        <v>435</v>
      </c>
      <c r="C80" s="242">
        <v>40000000</v>
      </c>
      <c r="D80" s="247">
        <v>2000000000</v>
      </c>
      <c r="E80" s="242">
        <v>17700173.509199999</v>
      </c>
      <c r="F80" s="242" t="str">
        <f t="shared" si="0"/>
        <v>Hasta COP 10.000.000.000400000002000000000</v>
      </c>
      <c r="G80" s="251"/>
      <c r="H80" s="251"/>
      <c r="I80" s="251"/>
      <c r="J80" s="251"/>
      <c r="K80" s="251"/>
      <c r="L80" s="251"/>
      <c r="M80" s="251"/>
      <c r="N80" s="251"/>
      <c r="O80" s="251"/>
    </row>
    <row r="81" spans="2:15">
      <c r="B81" s="251" t="s">
        <v>435</v>
      </c>
      <c r="C81" s="242">
        <v>40000000</v>
      </c>
      <c r="D81" s="247">
        <v>3000000000</v>
      </c>
      <c r="E81" s="242">
        <v>25195637.609999999</v>
      </c>
      <c r="F81" s="242" t="str">
        <f t="shared" si="0"/>
        <v>Hasta COP 10.000.000.000400000003000000000</v>
      </c>
      <c r="J81" s="3"/>
    </row>
    <row r="82" spans="2:15">
      <c r="B82" s="251" t="s">
        <v>435</v>
      </c>
      <c r="C82" s="242">
        <v>45000000</v>
      </c>
      <c r="D82" s="247">
        <v>4000000000</v>
      </c>
      <c r="E82" s="242">
        <v>33131662.195499998</v>
      </c>
      <c r="F82" s="242" t="str">
        <f t="shared" si="0"/>
        <v>Hasta COP 10.000.000.000450000004000000000</v>
      </c>
      <c r="J82" s="242"/>
      <c r="K82" s="247"/>
      <c r="L82" s="242"/>
      <c r="M82" s="242"/>
    </row>
    <row r="83" spans="2:15">
      <c r="B83" s="251" t="s">
        <v>435</v>
      </c>
      <c r="C83" s="242">
        <v>55000000</v>
      </c>
      <c r="D83" s="247">
        <v>5000000000</v>
      </c>
      <c r="E83" s="242">
        <v>40120712.288999997</v>
      </c>
      <c r="F83" s="242" t="str">
        <f t="shared" si="0"/>
        <v>Hasta COP 10.000.000.000550000005000000000</v>
      </c>
      <c r="G83" s="117"/>
      <c r="H83" s="117"/>
      <c r="J83" s="242"/>
      <c r="K83" s="247"/>
      <c r="L83" s="242"/>
      <c r="M83" s="242"/>
      <c r="N83" s="117"/>
      <c r="O83" s="117"/>
    </row>
    <row r="84" spans="2:15">
      <c r="B84" s="251" t="s">
        <v>435</v>
      </c>
      <c r="C84" s="242">
        <v>40000000</v>
      </c>
      <c r="D84" s="247">
        <v>500000000</v>
      </c>
      <c r="E84" s="242">
        <v>5037552</v>
      </c>
      <c r="F84" s="242" t="str">
        <f t="shared" si="0"/>
        <v>Hasta COP 10.000.000.00040000000500000000</v>
      </c>
      <c r="G84" s="117"/>
      <c r="H84" s="117"/>
      <c r="J84" s="242"/>
      <c r="K84" s="247"/>
      <c r="L84" s="242"/>
      <c r="M84" s="242"/>
      <c r="N84" s="117"/>
      <c r="O84" s="117"/>
    </row>
    <row r="85" spans="2:15">
      <c r="B85" s="251" t="s">
        <v>435</v>
      </c>
      <c r="C85" s="242">
        <v>40000000</v>
      </c>
      <c r="D85" s="247">
        <v>1000000000</v>
      </c>
      <c r="E85" s="242">
        <v>9383565.6720000003</v>
      </c>
      <c r="F85" s="242" t="str">
        <f t="shared" si="0"/>
        <v>Hasta COP 10.000.000.000400000001000000000</v>
      </c>
      <c r="G85" s="117"/>
      <c r="H85" s="117"/>
      <c r="J85" s="242"/>
      <c r="K85" s="247"/>
      <c r="L85" s="242"/>
      <c r="M85" s="242"/>
      <c r="N85" s="117"/>
      <c r="O85" s="117"/>
    </row>
    <row r="86" spans="2:15">
      <c r="B86" s="251" t="s">
        <v>435</v>
      </c>
      <c r="C86" s="242">
        <v>40000000</v>
      </c>
      <c r="D86" s="247">
        <v>1500000000</v>
      </c>
      <c r="E86" s="242">
        <v>13676391.920399999</v>
      </c>
      <c r="F86" s="242" t="str">
        <f t="shared" si="0"/>
        <v>Hasta COP 10.000.000.000400000001500000000</v>
      </c>
      <c r="G86" s="117"/>
      <c r="H86" s="117"/>
      <c r="J86" s="242"/>
      <c r="K86" s="247"/>
      <c r="L86" s="242"/>
      <c r="M86" s="242"/>
      <c r="N86" s="117"/>
      <c r="O86" s="117"/>
    </row>
    <row r="87" spans="2:15">
      <c r="B87" s="251" t="s">
        <v>435</v>
      </c>
      <c r="C87" s="242">
        <v>55000000</v>
      </c>
      <c r="D87" s="247">
        <v>2000000000</v>
      </c>
      <c r="E87" s="242">
        <v>16565547.0022</v>
      </c>
      <c r="F87" s="242" t="str">
        <f t="shared" si="0"/>
        <v>Hasta COP 10.000.000.000550000002000000000</v>
      </c>
      <c r="G87" s="117"/>
      <c r="H87" s="117"/>
      <c r="J87" s="242"/>
      <c r="K87" s="247"/>
      <c r="L87" s="242"/>
      <c r="M87" s="242"/>
      <c r="N87" s="117"/>
      <c r="O87" s="117"/>
    </row>
    <row r="88" spans="2:15">
      <c r="B88" s="251" t="s">
        <v>435</v>
      </c>
      <c r="C88" s="242">
        <v>55000000</v>
      </c>
      <c r="D88" s="247">
        <v>3000000000</v>
      </c>
      <c r="E88" s="242">
        <v>23143504.23</v>
      </c>
      <c r="F88" s="242" t="str">
        <f t="shared" si="0"/>
        <v>Hasta COP 10.000.000.000550000003000000000</v>
      </c>
      <c r="G88" s="117"/>
      <c r="H88" s="117"/>
      <c r="J88" s="242"/>
      <c r="K88" s="247"/>
      <c r="L88" s="242"/>
      <c r="M88" s="242"/>
      <c r="N88" s="117"/>
      <c r="O88" s="117"/>
    </row>
    <row r="89" spans="2:15">
      <c r="B89" s="251" t="s">
        <v>435</v>
      </c>
      <c r="C89" s="242">
        <v>60000000</v>
      </c>
      <c r="D89" s="247">
        <v>4000000000</v>
      </c>
      <c r="E89" s="242">
        <v>30098884.827</v>
      </c>
      <c r="F89" s="242" t="str">
        <f t="shared" si="0"/>
        <v>Hasta COP 10.000.000.000600000004000000000</v>
      </c>
      <c r="K89" s="3"/>
    </row>
    <row r="90" spans="2:15">
      <c r="B90" s="251" t="s">
        <v>435</v>
      </c>
      <c r="C90" s="242">
        <v>60000000</v>
      </c>
      <c r="D90" s="247">
        <v>5000000000</v>
      </c>
      <c r="E90" s="242">
        <v>36337475.159999996</v>
      </c>
      <c r="F90" s="242" t="str">
        <f t="shared" si="0"/>
        <v>Hasta COP 10.000.000.000600000005000000000</v>
      </c>
      <c r="K90" s="3"/>
    </row>
    <row r="91" spans="2:15">
      <c r="B91" s="251" t="s">
        <v>97</v>
      </c>
      <c r="C91" s="242">
        <v>30000000</v>
      </c>
      <c r="D91" s="247">
        <v>500000000</v>
      </c>
      <c r="E91" s="242">
        <v>5937594.6239999998</v>
      </c>
      <c r="F91" s="242" t="str">
        <f t="shared" si="0"/>
        <v>Hasta COP 15.000.000.00030000000500000000</v>
      </c>
      <c r="K91" s="3"/>
    </row>
    <row r="92" spans="2:15">
      <c r="B92" s="251" t="s">
        <v>97</v>
      </c>
      <c r="C92" s="242">
        <v>30000000</v>
      </c>
      <c r="D92" s="247">
        <v>1000000000</v>
      </c>
      <c r="E92" s="242">
        <v>10401710.641919998</v>
      </c>
      <c r="F92" s="242" t="str">
        <f t="shared" si="0"/>
        <v>Hasta COP 15.000.000.000300000001000000000</v>
      </c>
      <c r="G92" s="251"/>
      <c r="H92" s="251"/>
      <c r="I92" s="251"/>
      <c r="J92" s="251"/>
      <c r="K92" s="251"/>
      <c r="L92" s="251"/>
      <c r="M92" s="251"/>
      <c r="N92" s="251"/>
      <c r="O92" s="251"/>
    </row>
    <row r="93" spans="2:15">
      <c r="B93" s="251" t="s">
        <v>97</v>
      </c>
      <c r="C93" s="242">
        <v>30000000</v>
      </c>
      <c r="D93" s="247">
        <v>1500000000</v>
      </c>
      <c r="E93" s="242">
        <v>15045161.392764</v>
      </c>
      <c r="F93" s="242" t="str">
        <f t="shared" si="0"/>
        <v>Hasta COP 15.000.000.000300000001500000000</v>
      </c>
      <c r="J93" s="3"/>
    </row>
    <row r="94" spans="2:15">
      <c r="B94" s="251" t="s">
        <v>97</v>
      </c>
      <c r="C94" s="242">
        <v>40000000</v>
      </c>
      <c r="D94" s="247">
        <v>2000000000</v>
      </c>
      <c r="E94" s="242">
        <v>18478981.1436048</v>
      </c>
      <c r="F94" s="242" t="str">
        <f t="shared" si="0"/>
        <v>Hasta COP 15.000.000.000400000002000000000</v>
      </c>
      <c r="J94" s="242"/>
      <c r="K94" s="247"/>
      <c r="L94" s="242"/>
      <c r="M94" s="242"/>
    </row>
    <row r="95" spans="2:15">
      <c r="B95" s="251" t="s">
        <v>97</v>
      </c>
      <c r="C95" s="242">
        <v>40000000</v>
      </c>
      <c r="D95" s="247">
        <v>3000000000</v>
      </c>
      <c r="E95" s="242">
        <v>26304245.664839998</v>
      </c>
      <c r="F95" s="242" t="str">
        <f t="shared" si="0"/>
        <v>Hasta COP 15.000.000.000400000003000000000</v>
      </c>
      <c r="G95" s="117"/>
      <c r="H95" s="117"/>
      <c r="J95" s="242"/>
      <c r="K95" s="247"/>
      <c r="L95" s="242"/>
      <c r="M95" s="242"/>
      <c r="N95" s="117"/>
      <c r="O95" s="117"/>
    </row>
    <row r="96" spans="2:15">
      <c r="B96" s="251" t="s">
        <v>97</v>
      </c>
      <c r="C96" s="242">
        <v>45000000</v>
      </c>
      <c r="D96" s="247">
        <v>4000000000</v>
      </c>
      <c r="E96" s="242">
        <v>34589455.332102001</v>
      </c>
      <c r="F96" s="242" t="str">
        <f t="shared" si="0"/>
        <v>Hasta COP 15.000.000.000450000004000000000</v>
      </c>
      <c r="G96" s="117"/>
      <c r="H96" s="117"/>
      <c r="J96" s="242"/>
      <c r="K96" s="247"/>
      <c r="L96" s="242"/>
      <c r="M96" s="242"/>
      <c r="N96" s="117"/>
      <c r="O96" s="117"/>
    </row>
    <row r="97" spans="2:15">
      <c r="B97" s="251" t="s">
        <v>97</v>
      </c>
      <c r="C97" s="242">
        <v>55000000</v>
      </c>
      <c r="D97" s="247">
        <v>5000000000</v>
      </c>
      <c r="E97" s="242">
        <v>41886023.629715994</v>
      </c>
      <c r="F97" s="242" t="str">
        <f t="shared" si="0"/>
        <v>Hasta COP 15.000.000.000550000005000000000</v>
      </c>
      <c r="G97" s="117"/>
      <c r="H97" s="117"/>
      <c r="J97" s="242"/>
      <c r="K97" s="247"/>
      <c r="L97" s="242"/>
      <c r="M97" s="242"/>
      <c r="N97" s="117"/>
      <c r="O97" s="117"/>
    </row>
    <row r="98" spans="2:15">
      <c r="B98" s="251" t="s">
        <v>97</v>
      </c>
      <c r="C98" s="242">
        <v>40000000</v>
      </c>
      <c r="D98" s="247">
        <v>500000000</v>
      </c>
      <c r="E98" s="242">
        <v>5239054.08</v>
      </c>
      <c r="F98" s="242" t="str">
        <f t="shared" si="0"/>
        <v>Hasta COP 15.000.000.00040000000500000000</v>
      </c>
      <c r="G98" s="117"/>
      <c r="H98" s="117"/>
      <c r="J98" s="242"/>
      <c r="K98" s="247"/>
      <c r="L98" s="242"/>
      <c r="M98" s="242"/>
      <c r="N98" s="117"/>
      <c r="O98" s="117"/>
    </row>
    <row r="99" spans="2:15">
      <c r="B99" s="251" t="s">
        <v>97</v>
      </c>
      <c r="C99" s="242">
        <v>40000000</v>
      </c>
      <c r="D99" s="247">
        <v>1000000000</v>
      </c>
      <c r="E99" s="242">
        <v>9758908.2988799997</v>
      </c>
      <c r="F99" s="242" t="str">
        <f t="shared" si="0"/>
        <v>Hasta COP 15.000.000.000400000001000000000</v>
      </c>
      <c r="G99" s="117"/>
      <c r="H99" s="117"/>
      <c r="J99" s="242"/>
      <c r="K99" s="247"/>
      <c r="L99" s="242"/>
      <c r="M99" s="242"/>
      <c r="N99" s="117"/>
      <c r="O99" s="117"/>
    </row>
    <row r="100" spans="2:15">
      <c r="B100" s="251" t="s">
        <v>97</v>
      </c>
      <c r="C100" s="242">
        <v>40000000</v>
      </c>
      <c r="D100" s="247">
        <v>1500000000</v>
      </c>
      <c r="E100" s="242">
        <v>14278153.164897598</v>
      </c>
      <c r="F100" s="242" t="str">
        <f t="shared" ref="F100:F118" si="1">CONCATENATE(B100,C100,D100)</f>
        <v>Hasta COP 15.000.000.000400000001500000000</v>
      </c>
      <c r="G100" s="117"/>
      <c r="H100" s="117"/>
      <c r="J100" s="242"/>
      <c r="K100" s="247"/>
      <c r="L100" s="242"/>
      <c r="M100" s="242"/>
      <c r="N100" s="117"/>
      <c r="O100" s="117"/>
    </row>
    <row r="101" spans="2:15">
      <c r="B101" s="251" t="s">
        <v>97</v>
      </c>
      <c r="C101" s="242">
        <v>55000000</v>
      </c>
      <c r="D101" s="247">
        <v>2000000000</v>
      </c>
      <c r="E101" s="242">
        <v>17294431.070296802</v>
      </c>
      <c r="F101" s="242" t="str">
        <f t="shared" si="1"/>
        <v>Hasta COP 15.000.000.000550000002000000000</v>
      </c>
      <c r="K101" s="3"/>
    </row>
    <row r="102" spans="2:15">
      <c r="B102" s="251" t="s">
        <v>97</v>
      </c>
      <c r="C102" s="242">
        <v>55000000</v>
      </c>
      <c r="D102" s="247">
        <v>3000000000</v>
      </c>
      <c r="E102" s="242">
        <v>24161818.41612</v>
      </c>
      <c r="F102" s="242" t="str">
        <f t="shared" si="1"/>
        <v>Hasta COP 15.000.000.000550000003000000000</v>
      </c>
      <c r="K102" s="3"/>
    </row>
    <row r="103" spans="2:15">
      <c r="B103" s="251" t="s">
        <v>97</v>
      </c>
      <c r="C103" s="242">
        <v>60000000</v>
      </c>
      <c r="D103" s="247">
        <v>4000000000</v>
      </c>
      <c r="E103" s="242">
        <v>31423235.759388</v>
      </c>
      <c r="F103" s="242" t="str">
        <f t="shared" si="1"/>
        <v>Hasta COP 15.000.000.000600000004000000000</v>
      </c>
      <c r="G103" s="251"/>
      <c r="H103" s="251"/>
      <c r="I103" s="251"/>
      <c r="J103" s="251"/>
      <c r="K103" s="251"/>
      <c r="L103" s="251"/>
      <c r="M103" s="251"/>
      <c r="N103" s="251"/>
      <c r="O103" s="251"/>
    </row>
    <row r="104" spans="2:15">
      <c r="B104" s="251" t="s">
        <v>97</v>
      </c>
      <c r="C104" s="242">
        <v>60000000</v>
      </c>
      <c r="D104" s="247">
        <v>5000000000</v>
      </c>
      <c r="E104" s="242">
        <v>37936324.067039996</v>
      </c>
      <c r="F104" s="242" t="str">
        <f t="shared" si="1"/>
        <v>Hasta COP 15.000.000.000600000005000000000</v>
      </c>
      <c r="J104" s="3"/>
    </row>
    <row r="105" spans="2:15">
      <c r="B105" s="251" t="s">
        <v>16</v>
      </c>
      <c r="C105" s="242">
        <v>30000000</v>
      </c>
      <c r="D105" s="247">
        <v>500000000</v>
      </c>
      <c r="E105" s="242">
        <v>6204786.3820799999</v>
      </c>
      <c r="F105" s="242" t="str">
        <f t="shared" si="1"/>
        <v>Hasta COP 20.000.000.00030000000500000000</v>
      </c>
      <c r="J105" s="242"/>
      <c r="K105" s="247"/>
      <c r="L105" s="242"/>
      <c r="M105" s="242"/>
    </row>
    <row r="106" spans="2:15">
      <c r="B106" s="251" t="s">
        <v>16</v>
      </c>
      <c r="C106" s="242">
        <v>30000000</v>
      </c>
      <c r="D106" s="247">
        <v>1000000000</v>
      </c>
      <c r="E106" s="242">
        <v>10680777.589247998</v>
      </c>
      <c r="F106" s="242" t="str">
        <f t="shared" si="1"/>
        <v>Hasta COP 20.000.000.000300000001000000000</v>
      </c>
      <c r="G106" s="117"/>
      <c r="H106" s="117"/>
      <c r="J106" s="242"/>
      <c r="K106" s="247"/>
      <c r="L106" s="242"/>
      <c r="M106" s="242"/>
      <c r="N106" s="117"/>
      <c r="O106" s="117"/>
    </row>
    <row r="107" spans="2:15">
      <c r="B107" s="251" t="s">
        <v>16</v>
      </c>
      <c r="C107" s="242">
        <v>30000000</v>
      </c>
      <c r="D107" s="247">
        <v>1500000000</v>
      </c>
      <c r="E107" s="242">
        <v>15887690.430758784</v>
      </c>
      <c r="F107" s="242" t="str">
        <f t="shared" si="1"/>
        <v>Hasta COP 20.000.000.000300000001500000000</v>
      </c>
      <c r="G107" s="117"/>
      <c r="H107" s="117"/>
      <c r="J107" s="242"/>
      <c r="K107" s="247"/>
      <c r="L107" s="242"/>
      <c r="M107" s="242"/>
      <c r="N107" s="117"/>
      <c r="O107" s="117"/>
    </row>
    <row r="108" spans="2:15">
      <c r="B108" s="251" t="s">
        <v>16</v>
      </c>
      <c r="C108" s="242">
        <v>40000000</v>
      </c>
      <c r="D108" s="247">
        <v>2000000000</v>
      </c>
      <c r="E108" s="242">
        <v>19513804.087646671</v>
      </c>
      <c r="F108" s="242" t="str">
        <f t="shared" si="1"/>
        <v>Hasta COP 20.000.000.000400000002000000000</v>
      </c>
      <c r="G108" s="117"/>
      <c r="H108" s="117"/>
      <c r="J108" s="242"/>
      <c r="K108" s="247"/>
      <c r="L108" s="242"/>
      <c r="M108" s="242"/>
      <c r="N108" s="117"/>
      <c r="O108" s="117"/>
    </row>
    <row r="109" spans="2:15">
      <c r="B109" s="251" t="s">
        <v>16</v>
      </c>
      <c r="C109" s="242">
        <v>40000000</v>
      </c>
      <c r="D109" s="247">
        <v>3000000000</v>
      </c>
      <c r="E109" s="242">
        <v>27829891.913400717</v>
      </c>
      <c r="F109" s="242" t="str">
        <f t="shared" si="1"/>
        <v>Hasta COP 20.000.000.000400000003000000000</v>
      </c>
      <c r="G109" s="117"/>
      <c r="H109" s="117"/>
      <c r="J109" s="242"/>
      <c r="K109" s="247"/>
      <c r="L109" s="242"/>
      <c r="M109" s="242"/>
      <c r="N109" s="117"/>
      <c r="O109" s="117"/>
    </row>
    <row r="110" spans="2:15">
      <c r="B110" s="251" t="s">
        <v>16</v>
      </c>
      <c r="C110" s="242">
        <v>45000000</v>
      </c>
      <c r="D110" s="247">
        <v>4000000000</v>
      </c>
      <c r="E110" s="242">
        <v>36699412.107360221</v>
      </c>
      <c r="F110" s="242" t="str">
        <f t="shared" si="1"/>
        <v>Hasta COP 20.000.000.000450000004000000000</v>
      </c>
      <c r="G110" s="117"/>
      <c r="H110" s="117"/>
      <c r="J110" s="242"/>
      <c r="K110" s="247"/>
      <c r="L110" s="242"/>
      <c r="M110" s="242"/>
      <c r="N110" s="117"/>
      <c r="O110" s="117"/>
    </row>
    <row r="111" spans="2:15">
      <c r="B111" s="251" t="s">
        <v>16</v>
      </c>
      <c r="C111" s="242">
        <v>55000000</v>
      </c>
      <c r="D111" s="247">
        <v>5000000000</v>
      </c>
      <c r="E111" s="242">
        <v>44399185.047498956</v>
      </c>
      <c r="F111" s="242" t="str">
        <f t="shared" si="1"/>
        <v>Hasta COP 20.000.000.000550000005000000000</v>
      </c>
      <c r="G111" s="117"/>
      <c r="H111" s="117"/>
      <c r="J111" s="242"/>
      <c r="K111" s="247"/>
      <c r="L111" s="242"/>
      <c r="M111" s="242"/>
      <c r="N111" s="117"/>
      <c r="O111" s="117"/>
    </row>
    <row r="112" spans="2:15">
      <c r="B112" s="251" t="s">
        <v>16</v>
      </c>
      <c r="C112" s="242">
        <v>40000000</v>
      </c>
      <c r="D112" s="247">
        <v>500000000</v>
      </c>
      <c r="E112" s="242">
        <v>5474811.5136000002</v>
      </c>
      <c r="F112" s="242" t="str">
        <f t="shared" si="1"/>
        <v>Hasta COP 20.000.000.00040000000500000000</v>
      </c>
    </row>
    <row r="113" spans="2:6">
      <c r="B113" s="251" t="s">
        <v>16</v>
      </c>
      <c r="C113" s="242">
        <v>40000000</v>
      </c>
      <c r="D113" s="247">
        <v>1000000000</v>
      </c>
      <c r="E113" s="242">
        <v>10005143.840639999</v>
      </c>
      <c r="F113" s="242" t="str">
        <f t="shared" si="1"/>
        <v>Hasta COP 20.000.000.000400000001000000000</v>
      </c>
    </row>
    <row r="114" spans="2:6">
      <c r="B114" s="251" t="s">
        <v>16</v>
      </c>
      <c r="C114" s="242">
        <v>40000000</v>
      </c>
      <c r="D114" s="247">
        <v>1500000000</v>
      </c>
      <c r="E114" s="242">
        <v>14977782.669977581</v>
      </c>
      <c r="F114" s="242" t="str">
        <f t="shared" si="1"/>
        <v>Hasta COP 20.000.000.000400000001500000000</v>
      </c>
    </row>
    <row r="115" spans="2:6">
      <c r="B115" s="251" t="s">
        <v>16</v>
      </c>
      <c r="C115" s="242">
        <v>55000000</v>
      </c>
      <c r="D115" s="247">
        <v>2000000000</v>
      </c>
      <c r="E115" s="242">
        <v>18262919.210233424</v>
      </c>
      <c r="F115" s="242" t="str">
        <f t="shared" si="1"/>
        <v>Hasta COP 20.000.000.000550000002000000000</v>
      </c>
    </row>
    <row r="116" spans="2:6">
      <c r="B116" s="251" t="s">
        <v>16</v>
      </c>
      <c r="C116" s="242">
        <v>55000000</v>
      </c>
      <c r="D116" s="247">
        <v>3000000000</v>
      </c>
      <c r="E116" s="242">
        <v>25563203.884254958</v>
      </c>
      <c r="F116" s="242" t="str">
        <f t="shared" si="1"/>
        <v>Hasta COP 20.000.000.000550000003000000000</v>
      </c>
    </row>
    <row r="117" spans="2:6">
      <c r="B117" s="251" t="s">
        <v>16</v>
      </c>
      <c r="C117" s="242">
        <v>60000000</v>
      </c>
      <c r="D117" s="247">
        <v>4000000000</v>
      </c>
      <c r="E117" s="242">
        <v>33340053.140710667</v>
      </c>
      <c r="F117" s="242" t="str">
        <f t="shared" si="1"/>
        <v>Hasta COP 20.000.000.000600000004000000000</v>
      </c>
    </row>
    <row r="118" spans="2:6">
      <c r="B118" s="251" t="s">
        <v>16</v>
      </c>
      <c r="C118" s="242">
        <v>60000000</v>
      </c>
      <c r="D118" s="247">
        <v>5000000000</v>
      </c>
      <c r="E118" s="242">
        <v>40212503.511062399</v>
      </c>
      <c r="F118" s="242" t="str">
        <f t="shared" si="1"/>
        <v>Hasta COP 20.000.000.000600000005000000000</v>
      </c>
    </row>
  </sheetData>
  <phoneticPr fontId="19" type="noConversion"/>
  <dataValidations count="1">
    <dataValidation type="list" showInputMessage="1" showErrorMessage="1" sqref="B31:B32" xr:uid="{ADA18A95-7E57-41FF-9F0C-FF241EB9C640}">
      <formula1>#REF!</formula1>
    </dataValidation>
  </dataValidations>
  <pageMargins left="0.7" right="0.7" top="0.75" bottom="0.75" header="0.3" footer="0.3"/>
  <headerFooter>
    <oddFooter>&amp;L_x000D_&amp;1#&amp;"Aptos"&amp;10&amp;K000000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DB66-22F3-40A3-8E6E-E6A2B53FCCD0}">
  <dimension ref="B4:O122"/>
  <sheetViews>
    <sheetView topLeftCell="A37" zoomScaleNormal="100" workbookViewId="0">
      <selection activeCell="C51" sqref="C51"/>
    </sheetView>
  </sheetViews>
  <sheetFormatPr defaultColWidth="11.42578125" defaultRowHeight="15"/>
  <cols>
    <col min="1" max="1" width="11.42578125" style="4"/>
    <col min="2" max="2" width="37.7109375" style="4" customWidth="1"/>
    <col min="3" max="3" width="29.5703125" style="4" bestFit="1" customWidth="1"/>
    <col min="4" max="4" width="31.5703125" style="3" customWidth="1"/>
    <col min="5" max="8" width="18.42578125" style="4" bestFit="1" customWidth="1"/>
    <col min="9" max="10" width="18.28515625" style="4" bestFit="1" customWidth="1"/>
    <col min="11" max="11" width="37.42578125" style="4" customWidth="1"/>
    <col min="12" max="12" width="28.140625" style="4" customWidth="1"/>
    <col min="13" max="13" width="11.42578125" style="4"/>
    <col min="14" max="15" width="16.140625" style="4" bestFit="1" customWidth="1"/>
    <col min="16" max="16384" width="11.42578125" style="4"/>
  </cols>
  <sheetData>
    <row r="4" spans="2:8">
      <c r="B4" s="1" t="s">
        <v>13</v>
      </c>
      <c r="C4" s="242"/>
    </row>
    <row r="5" spans="2:8">
      <c r="C5" s="242"/>
    </row>
    <row r="6" spans="2:8">
      <c r="B6" s="5" t="s">
        <v>432</v>
      </c>
      <c r="C6" s="242"/>
      <c r="D6" s="243"/>
      <c r="E6" s="244"/>
      <c r="F6" s="244"/>
      <c r="G6" s="244"/>
      <c r="H6" s="244"/>
    </row>
    <row r="7" spans="2:8">
      <c r="B7" s="5" t="s">
        <v>433</v>
      </c>
      <c r="C7" s="242"/>
      <c r="D7" s="243"/>
      <c r="E7" s="244"/>
      <c r="F7" s="244"/>
      <c r="G7" s="244"/>
      <c r="H7" s="244"/>
    </row>
    <row r="8" spans="2:8">
      <c r="B8" s="5" t="s">
        <v>434</v>
      </c>
      <c r="C8" s="242"/>
      <c r="D8" s="243"/>
      <c r="E8" s="244"/>
      <c r="F8" s="244"/>
      <c r="G8" s="244"/>
      <c r="H8" s="244"/>
    </row>
    <row r="9" spans="2:8">
      <c r="B9" s="5" t="s">
        <v>435</v>
      </c>
      <c r="C9" s="242"/>
      <c r="D9" s="243"/>
      <c r="E9" s="244"/>
      <c r="F9" s="244"/>
      <c r="G9" s="244"/>
      <c r="H9" s="244"/>
    </row>
    <row r="10" spans="2:8">
      <c r="B10" s="5" t="s">
        <v>97</v>
      </c>
      <c r="C10" s="242"/>
      <c r="D10" s="243"/>
      <c r="E10" s="244"/>
      <c r="F10" s="244"/>
      <c r="G10" s="244"/>
      <c r="H10" s="244"/>
    </row>
    <row r="11" spans="2:8">
      <c r="B11" s="5" t="s">
        <v>16</v>
      </c>
      <c r="C11" s="242"/>
      <c r="D11" s="243"/>
      <c r="E11" s="244"/>
      <c r="F11" s="244"/>
      <c r="G11" s="244"/>
      <c r="H11" s="244"/>
    </row>
    <row r="12" spans="2:8">
      <c r="E12" s="244"/>
      <c r="F12" s="244"/>
      <c r="G12" s="244"/>
      <c r="H12" s="244"/>
    </row>
    <row r="13" spans="2:8">
      <c r="B13" s="8" t="s">
        <v>23</v>
      </c>
      <c r="C13" s="242"/>
      <c r="D13" s="242"/>
      <c r="E13" s="244"/>
      <c r="F13" s="244"/>
      <c r="G13" s="244"/>
      <c r="H13" s="244"/>
    </row>
    <row r="14" spans="2:8">
      <c r="B14" s="241">
        <v>500000000</v>
      </c>
      <c r="C14" s="242"/>
      <c r="D14" s="242"/>
      <c r="E14" s="242"/>
      <c r="F14" s="244"/>
      <c r="G14" s="244"/>
      <c r="H14" s="244"/>
    </row>
    <row r="15" spans="2:8">
      <c r="B15" s="241">
        <v>1000000000</v>
      </c>
      <c r="C15" s="242"/>
      <c r="D15" s="242"/>
      <c r="E15" s="242"/>
      <c r="F15" s="244"/>
      <c r="G15" s="244"/>
      <c r="H15" s="244"/>
    </row>
    <row r="16" spans="2:8">
      <c r="B16" s="241">
        <v>1500000000</v>
      </c>
      <c r="C16" s="242"/>
      <c r="D16" s="242"/>
      <c r="E16" s="242"/>
      <c r="F16" s="244"/>
      <c r="G16" s="244"/>
      <c r="H16" s="244"/>
    </row>
    <row r="17" spans="2:10">
      <c r="B17" s="241">
        <v>2000000000</v>
      </c>
      <c r="C17" s="242"/>
      <c r="D17" s="242"/>
      <c r="E17" s="242"/>
      <c r="F17" s="244"/>
      <c r="G17" s="244"/>
      <c r="H17" s="244"/>
    </row>
    <row r="18" spans="2:10">
      <c r="B18" s="241">
        <v>3000000000</v>
      </c>
      <c r="C18" s="242"/>
      <c r="D18" s="242"/>
      <c r="E18" s="242"/>
      <c r="F18" s="244"/>
      <c r="G18" s="244"/>
      <c r="H18" s="244"/>
    </row>
    <row r="19" spans="2:10">
      <c r="B19" s="241">
        <v>4000000000</v>
      </c>
      <c r="C19" s="242"/>
      <c r="D19" s="242"/>
      <c r="E19" s="242"/>
      <c r="F19" s="244"/>
      <c r="G19" s="244"/>
      <c r="H19" s="244"/>
    </row>
    <row r="20" spans="2:10">
      <c r="B20" s="241">
        <v>5000000000</v>
      </c>
      <c r="C20" s="242"/>
      <c r="D20" s="242"/>
      <c r="E20" s="242"/>
      <c r="F20" s="244"/>
      <c r="G20" s="244"/>
      <c r="H20" s="244"/>
    </row>
    <row r="21" spans="2:10">
      <c r="C21" s="242"/>
      <c r="D21" s="242"/>
    </row>
    <row r="24" spans="2:10">
      <c r="B24" s="4" t="s">
        <v>27</v>
      </c>
      <c r="D24" s="245">
        <v>500000000</v>
      </c>
      <c r="E24" s="246">
        <v>1000000000</v>
      </c>
      <c r="F24" s="246"/>
      <c r="G24" s="246"/>
      <c r="H24" s="246"/>
      <c r="I24" s="246">
        <v>4000000000</v>
      </c>
      <c r="J24" s="246">
        <v>5000000000</v>
      </c>
    </row>
    <row r="25" spans="2:10">
      <c r="B25" s="4" t="s">
        <v>28</v>
      </c>
      <c r="C25" s="13" t="s">
        <v>432</v>
      </c>
      <c r="D25" s="245">
        <v>4800000</v>
      </c>
      <c r="E25" s="245">
        <v>2505891.1518567386</v>
      </c>
      <c r="F25" s="245"/>
      <c r="G25" s="245"/>
      <c r="H25" s="245"/>
      <c r="I25" s="245">
        <v>6687115.6132258456</v>
      </c>
      <c r="J25" s="245">
        <v>8221863.4588842392</v>
      </c>
    </row>
    <row r="26" spans="2:10">
      <c r="C26" s="13" t="s">
        <v>433</v>
      </c>
      <c r="D26" s="245">
        <v>1647285.9378320512</v>
      </c>
      <c r="E26" s="245">
        <v>2514272.0587191358</v>
      </c>
      <c r="F26" s="245"/>
      <c r="G26" s="245"/>
      <c r="H26" s="245"/>
      <c r="I26" s="245">
        <v>6800456.555822894</v>
      </c>
      <c r="J26" s="245">
        <v>8361217.0768314293</v>
      </c>
    </row>
    <row r="27" spans="2:10">
      <c r="C27" s="13" t="s">
        <v>435</v>
      </c>
      <c r="D27" s="245">
        <v>1715647.9083333332</v>
      </c>
      <c r="E27" s="245">
        <v>2522680.9953703703</v>
      </c>
      <c r="F27" s="245"/>
      <c r="G27" s="245"/>
      <c r="H27" s="245"/>
      <c r="I27" s="245">
        <v>6915718.5313453162</v>
      </c>
      <c r="J27" s="245">
        <v>8502932.6205065381</v>
      </c>
    </row>
    <row r="28" spans="2:10">
      <c r="C28" s="13" t="s">
        <v>97</v>
      </c>
      <c r="D28" s="245">
        <v>1890521.111111111</v>
      </c>
      <c r="E28" s="245">
        <v>2531118.0555555555</v>
      </c>
      <c r="F28" s="245"/>
      <c r="G28" s="245"/>
      <c r="H28" s="245"/>
      <c r="I28" s="245">
        <v>7032934.0996732032</v>
      </c>
      <c r="J28" s="245">
        <v>8647050.1225490216</v>
      </c>
    </row>
    <row r="29" spans="2:10">
      <c r="C29" s="13" t="s">
        <v>16</v>
      </c>
      <c r="D29" s="245">
        <v>1938333.3333333333</v>
      </c>
      <c r="E29" s="245">
        <v>2539583.3333333335</v>
      </c>
      <c r="F29" s="245"/>
      <c r="G29" s="245"/>
      <c r="H29" s="245"/>
      <c r="I29" s="245">
        <v>7152136.3725490198</v>
      </c>
      <c r="J29" s="245">
        <v>8793610.2941176482</v>
      </c>
    </row>
    <row r="31" spans="2:10">
      <c r="C31" s="244"/>
    </row>
    <row r="32" spans="2:10">
      <c r="D32" s="4"/>
    </row>
    <row r="33" spans="2:15">
      <c r="D33" s="4"/>
    </row>
    <row r="34" spans="2:15">
      <c r="D34" s="4"/>
    </row>
    <row r="37" spans="2:15">
      <c r="C37" s="255" t="s">
        <v>432</v>
      </c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</row>
    <row r="38" spans="2:15">
      <c r="C38" s="4" t="s">
        <v>11</v>
      </c>
      <c r="D38" s="3" t="s">
        <v>436</v>
      </c>
      <c r="E38" s="4" t="s">
        <v>65</v>
      </c>
      <c r="F38" s="4" t="s">
        <v>439</v>
      </c>
      <c r="K38" s="3"/>
    </row>
    <row r="39" spans="2:15">
      <c r="B39" s="276" t="s">
        <v>432</v>
      </c>
      <c r="C39" s="274">
        <v>30000000</v>
      </c>
      <c r="D39" s="275">
        <v>500000000</v>
      </c>
      <c r="E39" s="242">
        <v>4200000</v>
      </c>
      <c r="F39" s="242" t="str">
        <f t="shared" ref="F39:F102" si="0">CONCATENATE(B39,C39,D39)</f>
        <v>Hasta COP 3.000.000.00030000000500000000</v>
      </c>
      <c r="J39" s="242"/>
      <c r="K39" s="247"/>
      <c r="L39" s="242"/>
      <c r="M39" s="242"/>
    </row>
    <row r="40" spans="2:15">
      <c r="B40" s="255" t="s">
        <v>432</v>
      </c>
      <c r="C40" s="242">
        <v>30000000</v>
      </c>
      <c r="D40" s="247">
        <v>1000000000</v>
      </c>
      <c r="E40" s="242">
        <v>7700000</v>
      </c>
      <c r="F40" s="242" t="str">
        <f t="shared" si="0"/>
        <v>Hasta COP 3.000.000.000300000001000000000</v>
      </c>
      <c r="G40" s="117"/>
      <c r="H40" s="117"/>
      <c r="J40" s="242"/>
      <c r="K40" s="247"/>
      <c r="L40" s="242"/>
      <c r="M40" s="242"/>
      <c r="N40" s="117"/>
      <c r="O40" s="117"/>
    </row>
    <row r="41" spans="2:15">
      <c r="B41" s="255" t="s">
        <v>432</v>
      </c>
      <c r="C41" s="242">
        <v>30000000</v>
      </c>
      <c r="D41" s="247">
        <v>1500000000</v>
      </c>
      <c r="E41" s="242">
        <v>10340000</v>
      </c>
      <c r="F41" s="242" t="str">
        <f t="shared" si="0"/>
        <v>Hasta COP 3.000.000.000300000001500000000</v>
      </c>
      <c r="G41" s="117"/>
      <c r="H41" s="117"/>
      <c r="J41" s="242"/>
      <c r="K41" s="247"/>
      <c r="L41" s="242"/>
      <c r="M41" s="242"/>
      <c r="N41" s="117"/>
      <c r="O41" s="117"/>
    </row>
    <row r="42" spans="2:15">
      <c r="B42" s="255" t="s">
        <v>432</v>
      </c>
      <c r="C42" s="242">
        <v>40000000</v>
      </c>
      <c r="D42" s="247">
        <v>2000000000</v>
      </c>
      <c r="E42" s="242">
        <v>12900000</v>
      </c>
      <c r="F42" s="242" t="str">
        <f t="shared" si="0"/>
        <v>Hasta COP 3.000.000.000400000002000000000</v>
      </c>
      <c r="G42" s="117"/>
      <c r="H42" s="117"/>
      <c r="J42" s="242"/>
      <c r="K42" s="247"/>
      <c r="L42" s="242"/>
      <c r="M42" s="242"/>
      <c r="N42" s="117"/>
      <c r="O42" s="117"/>
    </row>
    <row r="43" spans="2:15">
      <c r="B43" s="255" t="s">
        <v>432</v>
      </c>
      <c r="C43" s="242">
        <v>40000000</v>
      </c>
      <c r="D43" s="247">
        <v>3000000000</v>
      </c>
      <c r="E43" s="242">
        <v>18500000</v>
      </c>
      <c r="F43" s="242" t="str">
        <f t="shared" si="0"/>
        <v>Hasta COP 3.000.000.000400000003000000000</v>
      </c>
      <c r="G43" s="117"/>
      <c r="H43" s="117"/>
      <c r="J43" s="242"/>
      <c r="K43" s="247"/>
      <c r="L43" s="242"/>
      <c r="M43" s="242"/>
      <c r="N43" s="117"/>
      <c r="O43" s="117"/>
    </row>
    <row r="44" spans="2:15">
      <c r="B44" s="255" t="s">
        <v>432</v>
      </c>
      <c r="C44" s="242">
        <v>45000000</v>
      </c>
      <c r="D44" s="247">
        <v>4000000000</v>
      </c>
      <c r="E44" s="242">
        <v>24300000</v>
      </c>
      <c r="F44" s="242" t="str">
        <f t="shared" si="0"/>
        <v>Hasta COP 3.000.000.000450000004000000000</v>
      </c>
      <c r="G44" s="117"/>
      <c r="H44" s="117"/>
      <c r="J44" s="242"/>
      <c r="K44" s="247"/>
      <c r="L44" s="242"/>
      <c r="M44" s="242"/>
      <c r="N44" s="117"/>
      <c r="O44" s="117"/>
    </row>
    <row r="45" spans="2:15">
      <c r="B45" s="255" t="s">
        <v>432</v>
      </c>
      <c r="C45" s="242">
        <v>55000000</v>
      </c>
      <c r="D45" s="247">
        <v>5000000000</v>
      </c>
      <c r="E45" s="242">
        <v>30150000</v>
      </c>
      <c r="F45" s="242" t="str">
        <f t="shared" si="0"/>
        <v>Hasta COP 3.000.000.000550000005000000000</v>
      </c>
      <c r="G45" s="117"/>
      <c r="H45" s="117"/>
      <c r="J45" s="242"/>
      <c r="K45" s="247"/>
      <c r="L45" s="242"/>
      <c r="M45" s="242"/>
      <c r="N45" s="117"/>
      <c r="O45" s="117"/>
    </row>
    <row r="46" spans="2:15">
      <c r="B46" s="276" t="s">
        <v>432</v>
      </c>
      <c r="C46" s="274">
        <v>35000000</v>
      </c>
      <c r="D46" s="275">
        <v>500000000</v>
      </c>
      <c r="E46" s="242">
        <v>3700000</v>
      </c>
      <c r="F46" s="242" t="str">
        <f t="shared" si="0"/>
        <v>Hasta COP 3.000.000.00035000000500000000</v>
      </c>
      <c r="G46" s="117"/>
      <c r="H46" s="117"/>
      <c r="J46" s="242"/>
      <c r="K46" s="247"/>
      <c r="L46" s="242"/>
      <c r="M46" s="242"/>
      <c r="N46" s="117"/>
      <c r="O46" s="117"/>
    </row>
    <row r="47" spans="2:15">
      <c r="B47" s="255" t="s">
        <v>432</v>
      </c>
      <c r="C47" s="242">
        <v>35000000</v>
      </c>
      <c r="D47" s="247">
        <v>1000000000</v>
      </c>
      <c r="E47" s="242">
        <v>7000000</v>
      </c>
      <c r="F47" s="242" t="str">
        <f t="shared" si="0"/>
        <v>Hasta COP 3.000.000.000350000001000000000</v>
      </c>
      <c r="G47" s="117"/>
      <c r="H47" s="117"/>
      <c r="J47" s="242"/>
      <c r="K47" s="247"/>
      <c r="L47" s="242"/>
      <c r="M47" s="242"/>
      <c r="N47" s="117"/>
      <c r="O47" s="117"/>
    </row>
    <row r="48" spans="2:15">
      <c r="B48" s="255" t="s">
        <v>432</v>
      </c>
      <c r="C48" s="242">
        <v>35000000</v>
      </c>
      <c r="D48" s="247">
        <v>1500000000</v>
      </c>
      <c r="E48" s="242">
        <v>9400000</v>
      </c>
      <c r="F48" s="242" t="str">
        <f t="shared" si="0"/>
        <v>Hasta COP 3.000.000.000350000001500000000</v>
      </c>
      <c r="G48" s="117"/>
      <c r="H48" s="117"/>
      <c r="J48" s="242"/>
      <c r="K48" s="247"/>
      <c r="L48" s="242"/>
      <c r="M48" s="242"/>
      <c r="N48" s="117"/>
      <c r="O48" s="117"/>
    </row>
    <row r="49" spans="2:15">
      <c r="B49" s="255" t="s">
        <v>432</v>
      </c>
      <c r="C49" s="242">
        <v>40000000</v>
      </c>
      <c r="D49" s="247">
        <v>2000000000</v>
      </c>
      <c r="E49" s="242">
        <v>12000000</v>
      </c>
      <c r="F49" s="242" t="str">
        <f t="shared" si="0"/>
        <v>Hasta COP 3.000.000.000400000002000000000</v>
      </c>
      <c r="G49" s="117"/>
      <c r="H49" s="117"/>
      <c r="J49" s="242"/>
      <c r="K49" s="247"/>
      <c r="L49" s="242"/>
      <c r="M49" s="242"/>
      <c r="N49" s="117"/>
      <c r="O49" s="117"/>
    </row>
    <row r="50" spans="2:15">
      <c r="B50" s="255" t="s">
        <v>432</v>
      </c>
      <c r="C50" s="242">
        <v>55000000</v>
      </c>
      <c r="D50" s="247">
        <v>3000000000</v>
      </c>
      <c r="E50" s="242">
        <v>17600000</v>
      </c>
      <c r="F50" s="242" t="str">
        <f t="shared" si="0"/>
        <v>Hasta COP 3.000.000.000550000003000000000</v>
      </c>
      <c r="G50" s="117"/>
      <c r="H50" s="117"/>
      <c r="J50" s="242"/>
      <c r="K50" s="247"/>
      <c r="L50" s="242"/>
      <c r="M50" s="242"/>
      <c r="N50" s="117"/>
      <c r="O50" s="117"/>
    </row>
    <row r="51" spans="2:15">
      <c r="B51" s="255" t="s">
        <v>432</v>
      </c>
      <c r="C51" s="242">
        <v>55000000</v>
      </c>
      <c r="D51" s="247">
        <v>4000000000</v>
      </c>
      <c r="E51" s="242">
        <v>22000000</v>
      </c>
      <c r="F51" s="242" t="str">
        <f t="shared" si="0"/>
        <v>Hasta COP 3.000.000.000550000004000000000</v>
      </c>
      <c r="G51" s="117"/>
      <c r="H51" s="117"/>
      <c r="J51" s="242"/>
      <c r="K51" s="247"/>
      <c r="L51" s="242"/>
      <c r="M51" s="242"/>
      <c r="N51" s="117"/>
      <c r="O51" s="117"/>
    </row>
    <row r="52" spans="2:15">
      <c r="B52" s="255" t="s">
        <v>432</v>
      </c>
      <c r="C52" s="242">
        <v>55000000</v>
      </c>
      <c r="D52" s="247">
        <v>5000000000</v>
      </c>
      <c r="E52" s="242">
        <v>27600000</v>
      </c>
      <c r="F52" s="242" t="str">
        <f t="shared" si="0"/>
        <v>Hasta COP 3.000.000.000550000005000000000</v>
      </c>
      <c r="G52" s="117"/>
      <c r="H52" s="117"/>
      <c r="J52" s="242"/>
      <c r="K52" s="247"/>
      <c r="L52" s="242"/>
      <c r="M52" s="242"/>
      <c r="N52" s="117"/>
      <c r="O52" s="117"/>
    </row>
    <row r="53" spans="2:15">
      <c r="B53" s="255" t="s">
        <v>433</v>
      </c>
      <c r="C53" s="242">
        <v>30000000</v>
      </c>
      <c r="D53" s="247">
        <v>500000000</v>
      </c>
      <c r="E53" s="242">
        <v>4347000</v>
      </c>
      <c r="F53" s="242" t="str">
        <f t="shared" si="0"/>
        <v>Hasta COP 5.000.000.00030000000500000000</v>
      </c>
      <c r="G53" s="117"/>
      <c r="H53" s="117"/>
      <c r="J53" s="242"/>
      <c r="K53" s="247"/>
      <c r="L53" s="242"/>
      <c r="M53" s="242"/>
      <c r="N53" s="117"/>
      <c r="O53" s="117"/>
    </row>
    <row r="54" spans="2:15">
      <c r="B54" s="255" t="s">
        <v>433</v>
      </c>
      <c r="C54" s="242">
        <v>30000000</v>
      </c>
      <c r="D54" s="247">
        <v>1000000000</v>
      </c>
      <c r="E54" s="242">
        <v>7992600</v>
      </c>
      <c r="F54" s="242" t="str">
        <f t="shared" si="0"/>
        <v>Hasta COP 5.000.000.000300000001000000000</v>
      </c>
      <c r="G54" s="117"/>
      <c r="H54" s="117"/>
      <c r="J54" s="242"/>
      <c r="K54" s="247"/>
      <c r="L54" s="242"/>
      <c r="M54" s="242"/>
      <c r="N54" s="117"/>
      <c r="O54" s="117"/>
    </row>
    <row r="55" spans="2:15">
      <c r="B55" s="255" t="s">
        <v>433</v>
      </c>
      <c r="C55" s="242">
        <v>30000000</v>
      </c>
      <c r="D55" s="247">
        <v>1500000000</v>
      </c>
      <c r="E55" s="242">
        <v>10763940</v>
      </c>
      <c r="F55" s="242" t="str">
        <f t="shared" si="0"/>
        <v>Hasta COP 5.000.000.000300000001500000000</v>
      </c>
      <c r="G55" s="117"/>
      <c r="H55" s="117"/>
      <c r="J55" s="242"/>
      <c r="K55" s="247"/>
      <c r="L55" s="242"/>
      <c r="M55" s="242"/>
      <c r="N55" s="117"/>
      <c r="O55" s="117"/>
    </row>
    <row r="56" spans="2:15">
      <c r="B56" s="255" t="s">
        <v>433</v>
      </c>
      <c r="C56" s="242">
        <v>40000000</v>
      </c>
      <c r="D56" s="247">
        <v>2000000000</v>
      </c>
      <c r="E56" s="242">
        <v>13454700</v>
      </c>
      <c r="F56" s="242" t="str">
        <f t="shared" si="0"/>
        <v>Hasta COP 5.000.000.000400000002000000000</v>
      </c>
      <c r="G56" s="117"/>
      <c r="H56" s="117"/>
      <c r="J56" s="242"/>
      <c r="K56" s="247"/>
      <c r="L56" s="242"/>
      <c r="M56" s="242"/>
      <c r="N56" s="117"/>
      <c r="O56" s="117"/>
    </row>
    <row r="57" spans="2:15">
      <c r="B57" s="255" t="s">
        <v>433</v>
      </c>
      <c r="C57" s="242">
        <v>40000000</v>
      </c>
      <c r="D57" s="247">
        <v>3000000000</v>
      </c>
      <c r="E57" s="242">
        <v>19332500</v>
      </c>
      <c r="F57" s="242" t="str">
        <f t="shared" si="0"/>
        <v>Hasta COP 5.000.000.000400000003000000000</v>
      </c>
      <c r="G57" s="117"/>
      <c r="H57" s="117"/>
      <c r="J57" s="242"/>
      <c r="K57" s="247"/>
      <c r="L57" s="242"/>
      <c r="M57" s="242"/>
      <c r="N57" s="117"/>
      <c r="O57" s="117"/>
    </row>
    <row r="58" spans="2:15">
      <c r="B58" s="255" t="s">
        <v>433</v>
      </c>
      <c r="C58" s="242">
        <v>45000000</v>
      </c>
      <c r="D58" s="247">
        <v>4000000000</v>
      </c>
      <c r="E58" s="242">
        <v>25442100</v>
      </c>
      <c r="F58" s="242" t="str">
        <f t="shared" si="0"/>
        <v>Hasta COP 5.000.000.000450000004000000000</v>
      </c>
      <c r="K58" s="247"/>
    </row>
    <row r="59" spans="2:15">
      <c r="B59" s="255" t="s">
        <v>433</v>
      </c>
      <c r="C59" s="242">
        <v>55000000</v>
      </c>
      <c r="D59" s="247">
        <v>5000000000</v>
      </c>
      <c r="E59" s="242">
        <v>31657500</v>
      </c>
      <c r="F59" s="242" t="str">
        <f t="shared" si="0"/>
        <v>Hasta COP 5.000.000.000550000005000000000</v>
      </c>
      <c r="K59" s="247"/>
    </row>
    <row r="60" spans="2:15">
      <c r="B60" s="255" t="s">
        <v>433</v>
      </c>
      <c r="C60" s="242">
        <v>35000000</v>
      </c>
      <c r="D60" s="247">
        <v>500000000</v>
      </c>
      <c r="E60" s="242">
        <v>3829500</v>
      </c>
      <c r="F60" s="242" t="str">
        <f t="shared" si="0"/>
        <v>Hasta COP 5.000.000.00035000000500000000</v>
      </c>
      <c r="K60" s="247"/>
    </row>
    <row r="61" spans="2:15">
      <c r="B61" s="255" t="s">
        <v>433</v>
      </c>
      <c r="C61" s="242">
        <v>35000000</v>
      </c>
      <c r="D61" s="247">
        <v>1000000000</v>
      </c>
      <c r="E61" s="242">
        <v>7266000</v>
      </c>
      <c r="F61" s="242" t="str">
        <f t="shared" si="0"/>
        <v>Hasta COP 5.000.000.000350000001000000000</v>
      </c>
      <c r="K61" s="3"/>
    </row>
    <row r="62" spans="2:15">
      <c r="B62" s="255" t="s">
        <v>433</v>
      </c>
      <c r="C62" s="242">
        <v>35000000</v>
      </c>
      <c r="D62" s="247">
        <v>1500000000</v>
      </c>
      <c r="E62" s="242">
        <v>9785400</v>
      </c>
      <c r="F62" s="242" t="str">
        <f t="shared" si="0"/>
        <v>Hasta COP 5.000.000.000350000001500000000</v>
      </c>
      <c r="K62" s="3"/>
    </row>
    <row r="63" spans="2:15">
      <c r="B63" s="255" t="s">
        <v>433</v>
      </c>
      <c r="C63" s="242">
        <v>40000000</v>
      </c>
      <c r="D63" s="247">
        <v>2000000000</v>
      </c>
      <c r="E63" s="242">
        <v>12516000</v>
      </c>
      <c r="F63" s="242" t="str">
        <f t="shared" si="0"/>
        <v>Hasta COP 5.000.000.000400000002000000000</v>
      </c>
      <c r="G63" s="255"/>
      <c r="H63" s="255"/>
      <c r="I63" s="255"/>
      <c r="J63" s="255"/>
      <c r="K63" s="255"/>
      <c r="L63" s="255"/>
      <c r="M63" s="255"/>
      <c r="N63" s="255"/>
      <c r="O63" s="255"/>
    </row>
    <row r="64" spans="2:15">
      <c r="B64" s="255" t="s">
        <v>433</v>
      </c>
      <c r="C64" s="242">
        <v>55000000</v>
      </c>
      <c r="D64" s="247">
        <v>3000000000</v>
      </c>
      <c r="E64" s="242">
        <v>18392000</v>
      </c>
      <c r="F64" s="242" t="str">
        <f t="shared" si="0"/>
        <v>Hasta COP 5.000.000.000550000003000000000</v>
      </c>
      <c r="K64" s="3"/>
    </row>
    <row r="65" spans="2:15">
      <c r="B65" s="255" t="s">
        <v>433</v>
      </c>
      <c r="C65" s="242">
        <v>55000000</v>
      </c>
      <c r="D65" s="247">
        <v>4000000000</v>
      </c>
      <c r="E65" s="242">
        <v>23034000</v>
      </c>
      <c r="F65" s="242" t="str">
        <f t="shared" si="0"/>
        <v>Hasta COP 5.000.000.000550000004000000000</v>
      </c>
      <c r="J65" s="242"/>
      <c r="K65" s="247"/>
      <c r="L65" s="242"/>
      <c r="M65" s="242"/>
    </row>
    <row r="66" spans="2:15">
      <c r="B66" s="255" t="s">
        <v>433</v>
      </c>
      <c r="C66" s="242">
        <v>55000000</v>
      </c>
      <c r="D66" s="247">
        <v>5000000000</v>
      </c>
      <c r="E66" s="242">
        <v>28980000</v>
      </c>
      <c r="F66" s="242" t="str">
        <f t="shared" si="0"/>
        <v>Hasta COP 5.000.000.000550000005000000000</v>
      </c>
      <c r="G66" s="117"/>
      <c r="H66" s="117"/>
      <c r="J66" s="242"/>
      <c r="K66" s="247"/>
      <c r="L66" s="242"/>
      <c r="M66" s="242"/>
      <c r="N66" s="117"/>
      <c r="O66" s="117"/>
    </row>
    <row r="67" spans="2:15">
      <c r="B67" s="255" t="s">
        <v>434</v>
      </c>
      <c r="C67" s="242">
        <v>30000000</v>
      </c>
      <c r="D67" s="247">
        <v>500000000</v>
      </c>
      <c r="E67" s="242">
        <v>4520880</v>
      </c>
      <c r="F67" s="242" t="str">
        <f t="shared" si="0"/>
        <v>Hasta COP 7.500.000.00030000000500000000</v>
      </c>
      <c r="G67" s="117"/>
      <c r="H67" s="117"/>
      <c r="J67" s="242"/>
      <c r="K67" s="247"/>
      <c r="L67" s="242"/>
      <c r="M67" s="242"/>
      <c r="N67" s="117"/>
      <c r="O67" s="117"/>
    </row>
    <row r="68" spans="2:15">
      <c r="B68" s="255" t="s">
        <v>434</v>
      </c>
      <c r="C68" s="242">
        <v>30000000</v>
      </c>
      <c r="D68" s="247">
        <v>1000000000</v>
      </c>
      <c r="E68" s="242">
        <v>8320296.5999999996</v>
      </c>
      <c r="F68" s="242" t="str">
        <f t="shared" si="0"/>
        <v>Hasta COP 7.500.000.000300000001000000000</v>
      </c>
      <c r="G68" s="117"/>
      <c r="H68" s="117"/>
      <c r="J68" s="242"/>
      <c r="K68" s="247"/>
      <c r="L68" s="242"/>
      <c r="M68" s="242"/>
      <c r="N68" s="117"/>
      <c r="O68" s="117"/>
    </row>
    <row r="69" spans="2:15">
      <c r="B69" s="255" t="s">
        <v>434</v>
      </c>
      <c r="C69" s="242">
        <v>30000000</v>
      </c>
      <c r="D69" s="247">
        <v>1500000000</v>
      </c>
      <c r="E69" s="242">
        <v>11216025.48</v>
      </c>
      <c r="F69" s="242" t="str">
        <f t="shared" si="0"/>
        <v>Hasta COP 7.500.000.000300000001500000000</v>
      </c>
      <c r="G69" s="117"/>
      <c r="H69" s="117"/>
      <c r="J69" s="242"/>
      <c r="K69" s="247"/>
      <c r="L69" s="242"/>
      <c r="M69" s="242"/>
      <c r="N69" s="117"/>
      <c r="O69" s="117"/>
    </row>
    <row r="70" spans="2:15">
      <c r="B70" s="255" t="s">
        <v>434</v>
      </c>
      <c r="C70" s="242">
        <v>40000000</v>
      </c>
      <c r="D70" s="247">
        <v>2000000000</v>
      </c>
      <c r="E70" s="242">
        <v>14033252.1</v>
      </c>
      <c r="F70" s="242" t="str">
        <f t="shared" si="0"/>
        <v>Hasta COP 7.500.000.000400000002000000000</v>
      </c>
      <c r="G70" s="117"/>
      <c r="H70" s="117"/>
      <c r="J70" s="242"/>
      <c r="K70" s="247"/>
      <c r="L70" s="242"/>
      <c r="M70" s="242"/>
      <c r="N70" s="117"/>
      <c r="O70" s="117"/>
    </row>
    <row r="71" spans="2:15">
      <c r="B71" s="255" t="s">
        <v>434</v>
      </c>
      <c r="C71" s="242">
        <v>40000000</v>
      </c>
      <c r="D71" s="247">
        <v>3000000000</v>
      </c>
      <c r="E71" s="242">
        <v>20202462.5</v>
      </c>
      <c r="F71" s="242" t="str">
        <f t="shared" si="0"/>
        <v>Hasta COP 7.500.000.000400000003000000000</v>
      </c>
      <c r="G71" s="117"/>
      <c r="H71" s="117"/>
      <c r="J71" s="242"/>
      <c r="K71" s="247"/>
      <c r="L71" s="242"/>
      <c r="M71" s="242"/>
      <c r="N71" s="117"/>
      <c r="O71" s="117"/>
    </row>
    <row r="72" spans="2:15">
      <c r="B72" s="255" t="s">
        <v>434</v>
      </c>
      <c r="C72" s="242">
        <v>45000000</v>
      </c>
      <c r="D72" s="247">
        <v>4000000000</v>
      </c>
      <c r="E72" s="242">
        <v>26612436.600000001</v>
      </c>
      <c r="F72" s="242" t="str">
        <f t="shared" si="0"/>
        <v>Hasta COP 7.500.000.000450000004000000000</v>
      </c>
      <c r="K72" s="3"/>
    </row>
    <row r="73" spans="2:15">
      <c r="B73" s="255" t="s">
        <v>434</v>
      </c>
      <c r="C73" s="242">
        <v>55000000</v>
      </c>
      <c r="D73" s="247">
        <v>5000000000</v>
      </c>
      <c r="E73" s="242">
        <v>33145402.5</v>
      </c>
      <c r="F73" s="242" t="str">
        <f t="shared" si="0"/>
        <v>Hasta COP 7.500.000.000550000005000000000</v>
      </c>
      <c r="K73" s="3"/>
    </row>
    <row r="74" spans="2:15">
      <c r="B74" s="255" t="s">
        <v>434</v>
      </c>
      <c r="C74" s="242">
        <v>35000000</v>
      </c>
      <c r="D74" s="247">
        <v>500000000</v>
      </c>
      <c r="E74" s="242">
        <v>3982680</v>
      </c>
      <c r="F74" s="242" t="str">
        <f t="shared" si="0"/>
        <v>Hasta COP 7.500.000.00035000000500000000</v>
      </c>
      <c r="K74" s="3"/>
    </row>
    <row r="75" spans="2:15">
      <c r="B75" s="255" t="s">
        <v>434</v>
      </c>
      <c r="C75" s="242">
        <v>35000000</v>
      </c>
      <c r="D75" s="247">
        <v>1000000000</v>
      </c>
      <c r="E75" s="242">
        <v>7563906</v>
      </c>
      <c r="F75" s="242" t="str">
        <f t="shared" si="0"/>
        <v>Hasta COP 7.500.000.000350000001000000000</v>
      </c>
      <c r="G75" s="255"/>
      <c r="H75" s="255"/>
      <c r="I75" s="255"/>
      <c r="J75" s="255"/>
      <c r="K75" s="255"/>
      <c r="L75" s="255"/>
      <c r="M75" s="255"/>
      <c r="N75" s="255"/>
      <c r="O75" s="255"/>
    </row>
    <row r="76" spans="2:15">
      <c r="B76" s="255" t="s">
        <v>434</v>
      </c>
      <c r="C76" s="242">
        <v>35000000</v>
      </c>
      <c r="D76" s="247">
        <v>1500000000</v>
      </c>
      <c r="E76" s="242">
        <v>10196386.800000001</v>
      </c>
      <c r="F76" s="242" t="str">
        <f t="shared" si="0"/>
        <v>Hasta COP 7.500.000.000350000001500000000</v>
      </c>
      <c r="J76" s="3"/>
    </row>
    <row r="77" spans="2:15">
      <c r="B77" s="255" t="s">
        <v>434</v>
      </c>
      <c r="C77" s="242">
        <v>40000000</v>
      </c>
      <c r="D77" s="247">
        <v>2000000000</v>
      </c>
      <c r="E77" s="242">
        <v>13054188</v>
      </c>
      <c r="F77" s="242" t="str">
        <f t="shared" si="0"/>
        <v>Hasta COP 7.500.000.000400000002000000000</v>
      </c>
      <c r="J77" s="242"/>
      <c r="K77" s="247"/>
      <c r="L77" s="242"/>
      <c r="M77" s="242"/>
    </row>
    <row r="78" spans="2:15">
      <c r="B78" s="255" t="s">
        <v>434</v>
      </c>
      <c r="C78" s="242">
        <v>55000000</v>
      </c>
      <c r="D78" s="247">
        <v>3000000000</v>
      </c>
      <c r="E78" s="242">
        <v>19219640</v>
      </c>
      <c r="F78" s="242" t="str">
        <f t="shared" si="0"/>
        <v>Hasta COP 7.500.000.000550000003000000000</v>
      </c>
      <c r="G78" s="117"/>
      <c r="H78" s="117"/>
      <c r="J78" s="242"/>
      <c r="K78" s="247"/>
      <c r="L78" s="242"/>
      <c r="M78" s="242"/>
      <c r="N78" s="117"/>
      <c r="O78" s="117"/>
    </row>
    <row r="79" spans="2:15">
      <c r="B79" s="255" t="s">
        <v>434</v>
      </c>
      <c r="C79" s="242">
        <v>55000000</v>
      </c>
      <c r="D79" s="247">
        <v>4000000000</v>
      </c>
      <c r="E79" s="242">
        <v>24093564</v>
      </c>
      <c r="F79" s="242" t="str">
        <f t="shared" si="0"/>
        <v>Hasta COP 7.500.000.000550000004000000000</v>
      </c>
      <c r="G79" s="117"/>
      <c r="H79" s="117"/>
      <c r="J79" s="242"/>
      <c r="K79" s="247"/>
      <c r="L79" s="242"/>
      <c r="M79" s="242"/>
      <c r="N79" s="117"/>
      <c r="O79" s="117"/>
    </row>
    <row r="80" spans="2:15">
      <c r="B80" s="255" t="s">
        <v>434</v>
      </c>
      <c r="C80" s="242">
        <v>55000000</v>
      </c>
      <c r="D80" s="247">
        <v>5000000000</v>
      </c>
      <c r="E80" s="242">
        <v>30342060</v>
      </c>
      <c r="F80" s="242" t="str">
        <f t="shared" si="0"/>
        <v>Hasta COP 7.500.000.000550000005000000000</v>
      </c>
      <c r="G80" s="117"/>
      <c r="H80" s="117"/>
      <c r="J80" s="242"/>
      <c r="K80" s="247"/>
      <c r="L80" s="242"/>
      <c r="M80" s="242"/>
      <c r="N80" s="117"/>
      <c r="O80" s="117"/>
    </row>
    <row r="81" spans="2:15">
      <c r="B81" s="255" t="s">
        <v>435</v>
      </c>
      <c r="C81" s="242">
        <v>30000000</v>
      </c>
      <c r="D81" s="247">
        <v>500000000</v>
      </c>
      <c r="E81" s="242">
        <v>4701715.2</v>
      </c>
      <c r="F81" s="242" t="str">
        <f t="shared" si="0"/>
        <v>Hasta COP 10.000.000.00030000000500000000</v>
      </c>
      <c r="G81" s="117"/>
      <c r="H81" s="117"/>
      <c r="J81" s="242"/>
      <c r="K81" s="247"/>
      <c r="L81" s="242"/>
      <c r="M81" s="242"/>
      <c r="N81" s="117"/>
      <c r="O81" s="117"/>
    </row>
    <row r="82" spans="2:15">
      <c r="B82" s="255" t="s">
        <v>435</v>
      </c>
      <c r="C82" s="242">
        <v>30000000</v>
      </c>
      <c r="D82" s="247">
        <v>1000000000</v>
      </c>
      <c r="E82" s="242">
        <v>8653108.4639999997</v>
      </c>
      <c r="F82" s="242" t="str">
        <f t="shared" si="0"/>
        <v>Hasta COP 10.000.000.000300000001000000000</v>
      </c>
      <c r="G82" s="117"/>
      <c r="H82" s="117"/>
      <c r="J82" s="242"/>
      <c r="K82" s="247"/>
      <c r="L82" s="242"/>
      <c r="M82" s="242"/>
      <c r="N82" s="117"/>
      <c r="O82" s="117"/>
    </row>
    <row r="83" spans="2:15">
      <c r="B83" s="255" t="s">
        <v>435</v>
      </c>
      <c r="C83" s="242">
        <v>30000000</v>
      </c>
      <c r="D83" s="247">
        <v>1500000000</v>
      </c>
      <c r="E83" s="242">
        <v>11687098.55016</v>
      </c>
      <c r="F83" s="242" t="str">
        <f t="shared" si="0"/>
        <v>Hasta COP 10.000.000.000300000001500000000</v>
      </c>
      <c r="G83" s="117"/>
      <c r="H83" s="117"/>
      <c r="J83" s="242"/>
      <c r="K83" s="247"/>
      <c r="L83" s="242"/>
      <c r="M83" s="242"/>
      <c r="N83" s="117"/>
      <c r="O83" s="117"/>
    </row>
    <row r="84" spans="2:15">
      <c r="B84" s="255" t="s">
        <v>435</v>
      </c>
      <c r="C84" s="242">
        <v>40000000</v>
      </c>
      <c r="D84" s="247">
        <v>2000000000</v>
      </c>
      <c r="E84" s="242">
        <v>14636681.940299999</v>
      </c>
      <c r="F84" s="242" t="str">
        <f t="shared" si="0"/>
        <v>Hasta COP 10.000.000.000400000002000000000</v>
      </c>
      <c r="K84" s="3"/>
    </row>
    <row r="85" spans="2:15">
      <c r="B85" s="255" t="s">
        <v>435</v>
      </c>
      <c r="C85" s="242">
        <v>40000000</v>
      </c>
      <c r="D85" s="247">
        <v>3000000000</v>
      </c>
      <c r="E85" s="242">
        <v>21091370.850000001</v>
      </c>
      <c r="F85" s="242" t="str">
        <f t="shared" si="0"/>
        <v>Hasta COP 10.000.000.000400000003000000000</v>
      </c>
      <c r="K85" s="3"/>
    </row>
    <row r="86" spans="2:15">
      <c r="B86" s="255" t="s">
        <v>435</v>
      </c>
      <c r="C86" s="242">
        <v>45000000</v>
      </c>
      <c r="D86" s="247">
        <v>4000000000</v>
      </c>
      <c r="E86" s="242">
        <v>27809996.247000001</v>
      </c>
      <c r="F86" s="242" t="str">
        <f t="shared" si="0"/>
        <v>Hasta COP 10.000.000.000450000004000000000</v>
      </c>
      <c r="G86" s="255"/>
      <c r="H86" s="255"/>
      <c r="I86" s="255"/>
      <c r="J86" s="255"/>
      <c r="K86" s="255"/>
      <c r="L86" s="255"/>
      <c r="M86" s="255"/>
      <c r="N86" s="255"/>
      <c r="O86" s="255"/>
    </row>
    <row r="87" spans="2:15">
      <c r="B87" s="255" t="s">
        <v>435</v>
      </c>
      <c r="C87" s="242">
        <v>55000000</v>
      </c>
      <c r="D87" s="247">
        <v>5000000000</v>
      </c>
      <c r="E87" s="242">
        <v>34670091.015000001</v>
      </c>
      <c r="F87" s="242" t="str">
        <f t="shared" si="0"/>
        <v>Hasta COP 10.000.000.000550000005000000000</v>
      </c>
      <c r="J87" s="3"/>
    </row>
    <row r="88" spans="2:15">
      <c r="B88" s="255" t="s">
        <v>435</v>
      </c>
      <c r="C88" s="242">
        <v>35000000</v>
      </c>
      <c r="D88" s="247">
        <v>500000000</v>
      </c>
      <c r="E88" s="242">
        <v>4141987.2</v>
      </c>
      <c r="F88" s="242" t="str">
        <f t="shared" si="0"/>
        <v>Hasta COP 10.000.000.00035000000500000000</v>
      </c>
      <c r="J88" s="242"/>
      <c r="K88" s="247"/>
      <c r="L88" s="242"/>
      <c r="M88" s="242"/>
    </row>
    <row r="89" spans="2:15">
      <c r="B89" s="255" t="s">
        <v>435</v>
      </c>
      <c r="C89" s="242">
        <v>35000000</v>
      </c>
      <c r="D89" s="247">
        <v>1000000000</v>
      </c>
      <c r="E89" s="242">
        <v>7866462.2400000002</v>
      </c>
      <c r="F89" s="242" t="str">
        <f t="shared" si="0"/>
        <v>Hasta COP 10.000.000.000350000001000000000</v>
      </c>
      <c r="G89" s="117"/>
      <c r="H89" s="117"/>
      <c r="J89" s="242"/>
      <c r="K89" s="247"/>
      <c r="L89" s="242"/>
      <c r="M89" s="242"/>
      <c r="N89" s="117"/>
      <c r="O89" s="117"/>
    </row>
    <row r="90" spans="2:15">
      <c r="B90" s="255" t="s">
        <v>435</v>
      </c>
      <c r="C90" s="242">
        <v>35000000</v>
      </c>
      <c r="D90" s="247">
        <v>1500000000</v>
      </c>
      <c r="E90" s="242">
        <v>10624635.045600001</v>
      </c>
      <c r="F90" s="242" t="str">
        <f t="shared" si="0"/>
        <v>Hasta COP 10.000.000.000350000001500000000</v>
      </c>
      <c r="G90" s="117"/>
      <c r="H90" s="117"/>
      <c r="J90" s="242"/>
      <c r="K90" s="247"/>
      <c r="L90" s="242"/>
      <c r="M90" s="242"/>
      <c r="N90" s="117"/>
      <c r="O90" s="117"/>
    </row>
    <row r="91" spans="2:15">
      <c r="B91" s="255" t="s">
        <v>435</v>
      </c>
      <c r="C91" s="242">
        <v>40000000</v>
      </c>
      <c r="D91" s="247">
        <v>2000000000</v>
      </c>
      <c r="E91" s="242">
        <v>13615518.084000001</v>
      </c>
      <c r="F91" s="242" t="str">
        <f t="shared" si="0"/>
        <v>Hasta COP 10.000.000.000400000002000000000</v>
      </c>
      <c r="G91" s="117"/>
      <c r="H91" s="117"/>
      <c r="J91" s="242"/>
      <c r="K91" s="247"/>
      <c r="L91" s="242"/>
      <c r="M91" s="242"/>
      <c r="N91" s="117"/>
      <c r="O91" s="117"/>
    </row>
    <row r="92" spans="2:15">
      <c r="B92" s="255" t="s">
        <v>435</v>
      </c>
      <c r="C92" s="242">
        <v>55000000</v>
      </c>
      <c r="D92" s="247">
        <v>3000000000</v>
      </c>
      <c r="E92" s="242">
        <v>20065304.16</v>
      </c>
      <c r="F92" s="242" t="str">
        <f t="shared" si="0"/>
        <v>Hasta COP 10.000.000.000550000003000000000</v>
      </c>
      <c r="G92" s="117"/>
      <c r="H92" s="117"/>
      <c r="J92" s="242"/>
      <c r="K92" s="247"/>
      <c r="L92" s="242"/>
      <c r="M92" s="242"/>
      <c r="N92" s="117"/>
      <c r="O92" s="117"/>
    </row>
    <row r="93" spans="2:15">
      <c r="B93" s="255" t="s">
        <v>435</v>
      </c>
      <c r="C93" s="242">
        <v>55000000</v>
      </c>
      <c r="D93" s="247">
        <v>4000000000</v>
      </c>
      <c r="E93" s="242">
        <v>25177774.379999999</v>
      </c>
      <c r="F93" s="242" t="str">
        <f t="shared" si="0"/>
        <v>Hasta COP 10.000.000.000550000004000000000</v>
      </c>
      <c r="G93" s="117"/>
      <c r="H93" s="117"/>
      <c r="J93" s="242"/>
      <c r="K93" s="247"/>
      <c r="L93" s="242"/>
      <c r="M93" s="242"/>
      <c r="N93" s="117"/>
      <c r="O93" s="117"/>
    </row>
    <row r="94" spans="2:15">
      <c r="B94" s="255" t="s">
        <v>435</v>
      </c>
      <c r="C94" s="242">
        <v>55000000</v>
      </c>
      <c r="D94" s="247">
        <v>5000000000</v>
      </c>
      <c r="E94" s="242">
        <v>31737794.760000002</v>
      </c>
      <c r="F94" s="242" t="str">
        <f t="shared" si="0"/>
        <v>Hasta COP 10.000.000.000550000005000000000</v>
      </c>
      <c r="G94" s="117"/>
      <c r="H94" s="117"/>
      <c r="J94" s="242"/>
      <c r="K94" s="247"/>
      <c r="L94" s="242"/>
      <c r="M94" s="242"/>
      <c r="N94" s="117"/>
      <c r="O94" s="117"/>
    </row>
    <row r="95" spans="2:15">
      <c r="B95" s="251" t="s">
        <v>97</v>
      </c>
      <c r="C95" s="242">
        <v>30000000</v>
      </c>
      <c r="D95" s="247">
        <v>500000000</v>
      </c>
      <c r="E95" s="242">
        <v>4889783.8080000002</v>
      </c>
      <c r="F95" s="242" t="str">
        <f t="shared" si="0"/>
        <v>Hasta COP 15.000.000.00030000000500000000</v>
      </c>
      <c r="K95" s="3"/>
    </row>
    <row r="96" spans="2:15">
      <c r="B96" s="251" t="s">
        <v>97</v>
      </c>
      <c r="C96" s="242">
        <v>30000000</v>
      </c>
      <c r="D96" s="247">
        <v>1000000000</v>
      </c>
      <c r="E96" s="242">
        <v>8999232.8025599997</v>
      </c>
      <c r="F96" s="242" t="str">
        <f t="shared" si="0"/>
        <v>Hasta COP 15.000.000.000300000001000000000</v>
      </c>
      <c r="K96" s="3"/>
    </row>
    <row r="97" spans="2:15">
      <c r="B97" s="251" t="s">
        <v>97</v>
      </c>
      <c r="C97" s="242">
        <v>30000000</v>
      </c>
      <c r="D97" s="247">
        <v>1500000000</v>
      </c>
      <c r="E97" s="242">
        <v>12201330.88636704</v>
      </c>
      <c r="F97" s="242" t="str">
        <f t="shared" si="0"/>
        <v>Hasta COP 15.000.000.000300000001500000000</v>
      </c>
      <c r="K97" s="3"/>
    </row>
    <row r="98" spans="2:15">
      <c r="B98" s="251" t="s">
        <v>97</v>
      </c>
      <c r="C98" s="242">
        <v>40000000</v>
      </c>
      <c r="D98" s="247">
        <v>2000000000</v>
      </c>
      <c r="E98" s="242">
        <v>15280695.945673199</v>
      </c>
      <c r="F98" s="242" t="str">
        <f t="shared" si="0"/>
        <v>Hasta COP 15.000.000.000400000002000000000</v>
      </c>
      <c r="G98" s="251"/>
      <c r="H98" s="251"/>
      <c r="I98" s="251"/>
      <c r="J98" s="251"/>
      <c r="K98" s="251"/>
      <c r="L98" s="251"/>
      <c r="M98" s="251"/>
      <c r="N98" s="251"/>
      <c r="O98" s="251"/>
    </row>
    <row r="99" spans="2:15">
      <c r="B99" s="251" t="s">
        <v>97</v>
      </c>
      <c r="C99" s="242">
        <v>40000000</v>
      </c>
      <c r="D99" s="247">
        <v>3000000000</v>
      </c>
      <c r="E99" s="242">
        <v>22019391.167400002</v>
      </c>
      <c r="F99" s="242" t="str">
        <f t="shared" si="0"/>
        <v>Hasta COP 15.000.000.000400000003000000000</v>
      </c>
      <c r="J99" s="3"/>
    </row>
    <row r="100" spans="2:15">
      <c r="B100" s="251" t="s">
        <v>97</v>
      </c>
      <c r="C100" s="242">
        <v>45000000</v>
      </c>
      <c r="D100" s="247">
        <v>4000000000</v>
      </c>
      <c r="E100" s="242">
        <v>29033636.081868</v>
      </c>
      <c r="F100" s="242" t="str">
        <f t="shared" si="0"/>
        <v>Hasta COP 15.000.000.000450000004000000000</v>
      </c>
      <c r="J100" s="242"/>
      <c r="K100" s="247"/>
      <c r="L100" s="242"/>
      <c r="M100" s="242"/>
    </row>
    <row r="101" spans="2:15">
      <c r="B101" s="251" t="s">
        <v>97</v>
      </c>
      <c r="C101" s="242">
        <v>55000000</v>
      </c>
      <c r="D101" s="247">
        <v>5000000000</v>
      </c>
      <c r="E101" s="242">
        <v>36195575.019660003</v>
      </c>
      <c r="F101" s="242" t="str">
        <f t="shared" si="0"/>
        <v>Hasta COP 15.000.000.000550000005000000000</v>
      </c>
      <c r="G101" s="117"/>
      <c r="H101" s="117"/>
      <c r="J101" s="242"/>
      <c r="K101" s="247"/>
      <c r="L101" s="242"/>
      <c r="M101" s="242"/>
      <c r="N101" s="117"/>
      <c r="O101" s="117"/>
    </row>
    <row r="102" spans="2:15">
      <c r="B102" s="251" t="s">
        <v>97</v>
      </c>
      <c r="C102" s="242">
        <v>35000000</v>
      </c>
      <c r="D102" s="247">
        <v>500000000</v>
      </c>
      <c r="E102" s="242">
        <v>4307666.6880000001</v>
      </c>
      <c r="F102" s="242" t="str">
        <f t="shared" si="0"/>
        <v>Hasta COP 15.000.000.00035000000500000000</v>
      </c>
      <c r="G102" s="117"/>
      <c r="H102" s="117"/>
      <c r="J102" s="242"/>
      <c r="K102" s="247"/>
      <c r="L102" s="242"/>
      <c r="M102" s="242"/>
      <c r="N102" s="117"/>
      <c r="O102" s="117"/>
    </row>
    <row r="103" spans="2:15">
      <c r="B103" s="251" t="s">
        <v>97</v>
      </c>
      <c r="C103" s="242">
        <v>35000000</v>
      </c>
      <c r="D103" s="247">
        <v>1000000000</v>
      </c>
      <c r="E103" s="242">
        <v>8181120.7296000002</v>
      </c>
      <c r="F103" s="242" t="str">
        <f t="shared" ref="F103:F122" si="1">CONCATENATE(B103,C103,D103)</f>
        <v>Hasta COP 15.000.000.000350000001000000000</v>
      </c>
      <c r="G103" s="117"/>
      <c r="H103" s="117"/>
      <c r="J103" s="242"/>
      <c r="K103" s="247"/>
      <c r="L103" s="242"/>
      <c r="M103" s="242"/>
      <c r="N103" s="117"/>
      <c r="O103" s="117"/>
    </row>
    <row r="104" spans="2:15">
      <c r="B104" s="251" t="s">
        <v>97</v>
      </c>
      <c r="C104" s="242">
        <v>35000000</v>
      </c>
      <c r="D104" s="247">
        <v>1500000000</v>
      </c>
      <c r="E104" s="242">
        <v>11092118.987606401</v>
      </c>
      <c r="F104" s="242" t="str">
        <f t="shared" si="1"/>
        <v>Hasta COP 15.000.000.000350000001500000000</v>
      </c>
      <c r="G104" s="117"/>
      <c r="H104" s="117"/>
      <c r="J104" s="242"/>
      <c r="K104" s="247"/>
      <c r="L104" s="242"/>
      <c r="M104" s="242"/>
      <c r="N104" s="117"/>
      <c r="O104" s="117"/>
    </row>
    <row r="105" spans="2:15">
      <c r="B105" s="251" t="s">
        <v>97</v>
      </c>
      <c r="C105" s="242">
        <v>40000000</v>
      </c>
      <c r="D105" s="247">
        <v>2000000000</v>
      </c>
      <c r="E105" s="242">
        <v>14214600.879696</v>
      </c>
      <c r="F105" s="242" t="str">
        <f t="shared" si="1"/>
        <v>Hasta COP 15.000.000.000400000002000000000</v>
      </c>
      <c r="G105" s="117"/>
      <c r="H105" s="117"/>
      <c r="J105" s="242"/>
      <c r="K105" s="247"/>
      <c r="L105" s="242"/>
      <c r="M105" s="242"/>
      <c r="N105" s="117"/>
      <c r="O105" s="117"/>
    </row>
    <row r="106" spans="2:15">
      <c r="B106" s="251" t="s">
        <v>97</v>
      </c>
      <c r="C106" s="242">
        <v>55000000</v>
      </c>
      <c r="D106" s="247">
        <v>3000000000</v>
      </c>
      <c r="E106" s="242">
        <v>20948177.54304</v>
      </c>
      <c r="F106" s="242" t="str">
        <f t="shared" si="1"/>
        <v>Hasta COP 15.000.000.000550000003000000000</v>
      </c>
      <c r="G106" s="117"/>
      <c r="H106" s="117"/>
      <c r="J106" s="242"/>
      <c r="K106" s="247"/>
      <c r="L106" s="242"/>
      <c r="M106" s="242"/>
      <c r="N106" s="117"/>
      <c r="O106" s="117"/>
    </row>
    <row r="107" spans="2:15">
      <c r="B107" s="251" t="s">
        <v>97</v>
      </c>
      <c r="C107" s="242">
        <v>55000000</v>
      </c>
      <c r="D107" s="247">
        <v>4000000000</v>
      </c>
      <c r="E107" s="242">
        <v>26285596.452719998</v>
      </c>
      <c r="F107" s="242" t="str">
        <f t="shared" si="1"/>
        <v>Hasta COP 15.000.000.000550000004000000000</v>
      </c>
      <c r="K107" s="3"/>
    </row>
    <row r="108" spans="2:15">
      <c r="B108" s="251" t="s">
        <v>97</v>
      </c>
      <c r="C108" s="242">
        <v>55000000</v>
      </c>
      <c r="D108" s="247">
        <v>5000000000</v>
      </c>
      <c r="E108" s="242">
        <v>33134257.729440004</v>
      </c>
      <c r="F108" s="242" t="str">
        <f t="shared" si="1"/>
        <v>Hasta COP 15.000.000.000550000005000000000</v>
      </c>
      <c r="K108" s="3"/>
    </row>
    <row r="109" spans="2:15">
      <c r="B109" s="251" t="s">
        <v>16</v>
      </c>
      <c r="C109" s="242">
        <v>30000000</v>
      </c>
      <c r="D109" s="247">
        <v>500000000</v>
      </c>
      <c r="E109" s="242">
        <v>5109824.0793599999</v>
      </c>
      <c r="F109" s="242" t="str">
        <f t="shared" si="1"/>
        <v>Hasta COP 20.000.000.00030000000500000000</v>
      </c>
      <c r="G109" s="251"/>
      <c r="H109" s="251"/>
      <c r="I109" s="251"/>
      <c r="J109" s="251"/>
      <c r="K109" s="251"/>
      <c r="L109" s="251"/>
      <c r="M109" s="251"/>
      <c r="N109" s="251"/>
      <c r="O109" s="251"/>
    </row>
    <row r="110" spans="2:15">
      <c r="B110" s="251" t="s">
        <v>16</v>
      </c>
      <c r="C110" s="242">
        <v>30000000</v>
      </c>
      <c r="D110" s="247">
        <v>1000000000</v>
      </c>
      <c r="E110" s="242">
        <v>9229052.6415359993</v>
      </c>
      <c r="F110" s="242" t="str">
        <f t="shared" si="1"/>
        <v>Hasta COP 20.000.000.000300000001000000000</v>
      </c>
      <c r="J110" s="3"/>
    </row>
    <row r="111" spans="2:15">
      <c r="B111" s="251" t="s">
        <v>16</v>
      </c>
      <c r="C111" s="242">
        <v>30000000</v>
      </c>
      <c r="D111" s="247">
        <v>1500000000</v>
      </c>
      <c r="E111" s="242">
        <v>12884605.416003594</v>
      </c>
      <c r="F111" s="242" t="str">
        <f t="shared" si="1"/>
        <v>Hasta COP 20.000.000.000300000001500000000</v>
      </c>
      <c r="J111" s="242"/>
      <c r="K111" s="247"/>
      <c r="L111" s="242"/>
      <c r="M111" s="242"/>
    </row>
    <row r="112" spans="2:15">
      <c r="B112" s="251" t="s">
        <v>16</v>
      </c>
      <c r="C112" s="242">
        <v>40000000</v>
      </c>
      <c r="D112" s="247">
        <v>2000000000</v>
      </c>
      <c r="E112" s="242">
        <v>16136414.918630898</v>
      </c>
      <c r="F112" s="242" t="str">
        <f t="shared" si="1"/>
        <v>Hasta COP 20.000.000.000400000002000000000</v>
      </c>
      <c r="G112" s="117"/>
      <c r="H112" s="117"/>
      <c r="J112" s="242"/>
      <c r="K112" s="247"/>
      <c r="L112" s="242"/>
      <c r="M112" s="242"/>
      <c r="N112" s="117"/>
      <c r="O112" s="117"/>
    </row>
    <row r="113" spans="2:15">
      <c r="B113" s="251" t="s">
        <v>16</v>
      </c>
      <c r="C113" s="242">
        <v>40000000</v>
      </c>
      <c r="D113" s="247">
        <v>3000000000</v>
      </c>
      <c r="E113" s="242">
        <v>23296515.855109204</v>
      </c>
      <c r="F113" s="242" t="str">
        <f t="shared" si="1"/>
        <v>Hasta COP 20.000.000.000400000003000000000</v>
      </c>
      <c r="G113" s="117"/>
      <c r="H113" s="117"/>
      <c r="J113" s="242"/>
      <c r="K113" s="247"/>
      <c r="L113" s="242"/>
      <c r="M113" s="242"/>
      <c r="N113" s="117"/>
      <c r="O113" s="117"/>
    </row>
    <row r="114" spans="2:15">
      <c r="B114" s="251" t="s">
        <v>16</v>
      </c>
      <c r="C114" s="242">
        <v>45000000</v>
      </c>
      <c r="D114" s="247">
        <v>4000000000</v>
      </c>
      <c r="E114" s="242">
        <v>30804687.88286195</v>
      </c>
      <c r="F114" s="242" t="str">
        <f t="shared" si="1"/>
        <v>Hasta COP 20.000.000.000450000004000000000</v>
      </c>
      <c r="G114" s="117"/>
      <c r="H114" s="117"/>
      <c r="J114" s="242"/>
      <c r="K114" s="247"/>
      <c r="L114" s="242"/>
      <c r="M114" s="242"/>
      <c r="N114" s="117"/>
      <c r="O114" s="117"/>
    </row>
    <row r="115" spans="2:15">
      <c r="B115" s="251" t="s">
        <v>16</v>
      </c>
      <c r="C115" s="242">
        <v>55000000</v>
      </c>
      <c r="D115" s="247">
        <v>5000000000</v>
      </c>
      <c r="E115" s="242">
        <v>38367309.520839602</v>
      </c>
      <c r="F115" s="242" t="str">
        <f t="shared" si="1"/>
        <v>Hasta COP 20.000.000.000550000005000000000</v>
      </c>
      <c r="G115" s="117"/>
      <c r="H115" s="117"/>
      <c r="J115" s="242"/>
      <c r="K115" s="247"/>
      <c r="L115" s="242"/>
      <c r="M115" s="242"/>
      <c r="N115" s="117"/>
      <c r="O115" s="117"/>
    </row>
    <row r="116" spans="2:15">
      <c r="B116" s="251" t="s">
        <v>16</v>
      </c>
      <c r="C116" s="242">
        <v>35000000</v>
      </c>
      <c r="D116" s="247">
        <v>500000000</v>
      </c>
      <c r="E116" s="242">
        <v>4501511.6889599999</v>
      </c>
      <c r="F116" s="242" t="str">
        <f t="shared" si="1"/>
        <v>Hasta COP 20.000.000.00035000000500000000</v>
      </c>
      <c r="G116" s="117"/>
      <c r="H116" s="117"/>
      <c r="J116" s="242"/>
      <c r="K116" s="247"/>
      <c r="L116" s="242"/>
      <c r="M116" s="242"/>
      <c r="N116" s="117"/>
      <c r="O116" s="117"/>
    </row>
    <row r="117" spans="2:15">
      <c r="B117" s="251" t="s">
        <v>16</v>
      </c>
      <c r="C117" s="242">
        <v>35000000</v>
      </c>
      <c r="D117" s="247">
        <v>1000000000</v>
      </c>
      <c r="E117" s="242">
        <v>8383581.0639359998</v>
      </c>
      <c r="F117" s="242" t="str">
        <f t="shared" si="1"/>
        <v>Hasta COP 20.000.000.000350000001000000000</v>
      </c>
      <c r="G117" s="117"/>
      <c r="H117" s="117"/>
      <c r="J117" s="242"/>
      <c r="K117" s="247"/>
      <c r="L117" s="242"/>
      <c r="M117" s="242"/>
      <c r="N117" s="117"/>
      <c r="O117" s="117"/>
    </row>
    <row r="118" spans="2:15">
      <c r="B118" s="251" t="s">
        <v>16</v>
      </c>
      <c r="C118" s="242">
        <v>35000000</v>
      </c>
      <c r="D118" s="247">
        <v>1500000000</v>
      </c>
      <c r="E118" s="242">
        <v>11713277.650912359</v>
      </c>
      <c r="F118" s="242" t="str">
        <f t="shared" si="1"/>
        <v>Hasta COP 20.000.000.000350000001500000000</v>
      </c>
    </row>
    <row r="119" spans="2:15">
      <c r="B119" s="251" t="s">
        <v>16</v>
      </c>
      <c r="C119" s="242">
        <v>40000000</v>
      </c>
      <c r="D119" s="247">
        <v>2000000000</v>
      </c>
      <c r="E119" s="242">
        <v>15010618.528958976</v>
      </c>
      <c r="F119" s="242" t="str">
        <f t="shared" si="1"/>
        <v>Hasta COP 20.000.000.000400000002000000000</v>
      </c>
    </row>
    <row r="120" spans="2:15">
      <c r="B120" s="251" t="s">
        <v>16</v>
      </c>
      <c r="C120" s="242">
        <v>55000000</v>
      </c>
      <c r="D120" s="247">
        <v>3000000000</v>
      </c>
      <c r="E120" s="242">
        <v>22163171.840536319</v>
      </c>
      <c r="F120" s="242" t="str">
        <f t="shared" si="1"/>
        <v>Hasta COP 20.000.000.000550000003000000000</v>
      </c>
    </row>
    <row r="121" spans="2:15">
      <c r="B121" s="251" t="s">
        <v>16</v>
      </c>
      <c r="C121" s="242">
        <v>55000000</v>
      </c>
      <c r="D121" s="247">
        <v>4000000000</v>
      </c>
      <c r="E121" s="242">
        <v>27889017.836335916</v>
      </c>
      <c r="F121" s="242" t="str">
        <f t="shared" si="1"/>
        <v>Hasta COP 20.000.000.000550000004000000000</v>
      </c>
    </row>
    <row r="122" spans="2:15">
      <c r="B122" s="251" t="s">
        <v>16</v>
      </c>
      <c r="C122" s="242">
        <v>55000000</v>
      </c>
      <c r="D122" s="247">
        <v>5000000000</v>
      </c>
      <c r="E122" s="242">
        <v>35122313.193206407</v>
      </c>
      <c r="F122" s="242" t="str">
        <f t="shared" si="1"/>
        <v>Hasta COP 20.000.000.000550000005000000000</v>
      </c>
    </row>
  </sheetData>
  <dataValidations count="1">
    <dataValidation type="list" showInputMessage="1" showErrorMessage="1" sqref="B35:B36" xr:uid="{50E432D6-B4A2-4A67-885D-8696ECB22D78}">
      <formula1>#REF!</formula1>
    </dataValidation>
  </dataValidations>
  <pageMargins left="0.7" right="0.7" top="0.75" bottom="0.75" header="0.3" footer="0.3"/>
  <headerFooter>
    <oddFooter>&amp;L_x000D_&amp;1#&amp;"Aptos"&amp;10&amp;K000000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0051-EDDB-4C4A-9A65-962C4D95588A}">
  <dimension ref="A4:N92"/>
  <sheetViews>
    <sheetView zoomScaleNormal="100" workbookViewId="0">
      <selection activeCell="B9" sqref="B9"/>
    </sheetView>
  </sheetViews>
  <sheetFormatPr defaultColWidth="11.42578125" defaultRowHeight="15"/>
  <cols>
    <col min="1" max="1" width="28" style="4" customWidth="1"/>
    <col min="2" max="2" width="29.7109375" style="4" bestFit="1" customWidth="1"/>
    <col min="3" max="3" width="31.5703125" style="3" customWidth="1"/>
    <col min="4" max="4" width="18.5703125" style="4" bestFit="1" customWidth="1"/>
    <col min="5" max="5" width="46.28515625" style="4" customWidth="1"/>
    <col min="6" max="7" width="18.5703125" style="4" bestFit="1" customWidth="1"/>
    <col min="8" max="9" width="18.28515625" style="4" bestFit="1" customWidth="1"/>
    <col min="10" max="10" width="15.28515625" style="4" bestFit="1" customWidth="1"/>
    <col min="11" max="11" width="12.42578125" style="4" bestFit="1" customWidth="1"/>
    <col min="12" max="12" width="11.5703125" style="4" bestFit="1" customWidth="1"/>
    <col min="13" max="13" width="16.28515625" style="4" bestFit="1" customWidth="1"/>
    <col min="14" max="14" width="16.140625" style="4" bestFit="1" customWidth="1"/>
    <col min="15" max="16384" width="11.42578125" style="4"/>
  </cols>
  <sheetData>
    <row r="4" spans="1:14">
      <c r="B4" s="242"/>
    </row>
    <row r="7" spans="1:14">
      <c r="B7" s="251" t="s">
        <v>432</v>
      </c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</row>
    <row r="8" spans="1:14">
      <c r="B8" s="4" t="s">
        <v>11</v>
      </c>
      <c r="C8" s="3" t="s">
        <v>436</v>
      </c>
      <c r="D8" s="4" t="s">
        <v>65</v>
      </c>
      <c r="J8" s="3"/>
    </row>
    <row r="9" spans="1:14">
      <c r="A9" s="251" t="s">
        <v>432</v>
      </c>
      <c r="B9" s="242">
        <v>30000000</v>
      </c>
      <c r="C9" s="247">
        <v>500000000</v>
      </c>
      <c r="D9" s="242">
        <v>4800000</v>
      </c>
      <c r="E9" s="242" t="str">
        <f t="shared" ref="E9:E72" si="0">CONCATENATE(A9,B9,C9)</f>
        <v>Hasta COP 3.000.000.00030000000500000000</v>
      </c>
      <c r="H9" s="117"/>
      <c r="I9" s="242"/>
      <c r="J9" s="247"/>
      <c r="K9" s="242"/>
      <c r="L9" s="242"/>
    </row>
    <row r="10" spans="1:14">
      <c r="A10" s="251" t="s">
        <v>432</v>
      </c>
      <c r="B10" s="242">
        <v>30000000</v>
      </c>
      <c r="C10" s="247">
        <v>1000000000</v>
      </c>
      <c r="D10" s="242">
        <v>8750000</v>
      </c>
      <c r="E10" s="242" t="str">
        <f t="shared" si="0"/>
        <v>Hasta COP 3.000.000.000300000001000000000</v>
      </c>
      <c r="F10" s="117"/>
      <c r="G10" s="117"/>
      <c r="I10" s="242"/>
      <c r="J10" s="247"/>
      <c r="K10" s="242"/>
      <c r="L10" s="242"/>
      <c r="M10" s="117"/>
      <c r="N10" s="117"/>
    </row>
    <row r="11" spans="1:14">
      <c r="A11" s="251" t="s">
        <v>432</v>
      </c>
      <c r="B11" s="242">
        <v>30000000</v>
      </c>
      <c r="C11" s="247">
        <v>1500000000</v>
      </c>
      <c r="D11" s="242">
        <v>12300000</v>
      </c>
      <c r="E11" s="242" t="str">
        <f t="shared" si="0"/>
        <v>Hasta COP 3.000.000.000300000001500000000</v>
      </c>
      <c r="F11" s="117"/>
      <c r="G11" s="117"/>
      <c r="I11" s="242"/>
      <c r="J11" s="247"/>
      <c r="K11" s="242"/>
      <c r="L11" s="242"/>
      <c r="M11" s="117"/>
      <c r="N11" s="117"/>
    </row>
    <row r="12" spans="1:14">
      <c r="A12" s="251" t="s">
        <v>432</v>
      </c>
      <c r="B12" s="242">
        <v>40000000</v>
      </c>
      <c r="C12" s="247">
        <v>2000000000</v>
      </c>
      <c r="D12" s="242">
        <v>14900000</v>
      </c>
      <c r="E12" s="242" t="str">
        <f t="shared" si="0"/>
        <v>Hasta COP 3.000.000.000400000002000000000</v>
      </c>
      <c r="F12" s="117"/>
      <c r="G12" s="117"/>
      <c r="I12" s="242"/>
      <c r="J12" s="247"/>
      <c r="K12" s="242"/>
      <c r="L12" s="242"/>
      <c r="M12" s="117"/>
      <c r="N12" s="117"/>
    </row>
    <row r="13" spans="1:14">
      <c r="A13" s="251" t="s">
        <v>432</v>
      </c>
      <c r="B13" s="242">
        <v>40000000</v>
      </c>
      <c r="C13" s="247">
        <v>3000000000</v>
      </c>
      <c r="D13" s="242">
        <v>21150000</v>
      </c>
      <c r="E13" s="242" t="str">
        <f t="shared" si="0"/>
        <v>Hasta COP 3.000.000.000400000003000000000</v>
      </c>
      <c r="F13" s="117"/>
      <c r="G13" s="117"/>
      <c r="I13" s="242"/>
      <c r="J13" s="247"/>
      <c r="K13" s="242"/>
      <c r="L13" s="242"/>
      <c r="M13" s="117"/>
      <c r="N13" s="117"/>
    </row>
    <row r="14" spans="1:14">
      <c r="A14" s="251" t="s">
        <v>432</v>
      </c>
      <c r="B14" s="242">
        <v>45000000</v>
      </c>
      <c r="C14" s="247">
        <v>4000000000</v>
      </c>
      <c r="D14" s="242">
        <v>27600000</v>
      </c>
      <c r="E14" s="242" t="str">
        <f t="shared" si="0"/>
        <v>Hasta COP 3.000.000.000450000004000000000</v>
      </c>
      <c r="F14" s="117"/>
      <c r="G14" s="117"/>
      <c r="I14" s="242"/>
      <c r="J14" s="247"/>
      <c r="K14" s="242"/>
      <c r="L14" s="242"/>
      <c r="M14" s="117"/>
      <c r="N14" s="117"/>
    </row>
    <row r="15" spans="1:14">
      <c r="A15" s="251" t="s">
        <v>432</v>
      </c>
      <c r="B15" s="242">
        <v>55000000</v>
      </c>
      <c r="C15" s="247">
        <v>5000000000</v>
      </c>
      <c r="D15" s="242">
        <v>33700000</v>
      </c>
      <c r="E15" s="242" t="str">
        <f t="shared" si="0"/>
        <v>Hasta COP 3.000.000.000550000005000000000</v>
      </c>
      <c r="F15" s="117"/>
      <c r="G15" s="117"/>
      <c r="I15" s="242"/>
      <c r="J15" s="247"/>
      <c r="K15" s="242"/>
      <c r="L15" s="242"/>
      <c r="M15" s="117"/>
      <c r="N15" s="117"/>
    </row>
    <row r="16" spans="1:14">
      <c r="A16" s="251" t="s">
        <v>432</v>
      </c>
      <c r="B16" s="242">
        <v>40000000</v>
      </c>
      <c r="C16" s="247">
        <v>500000000</v>
      </c>
      <c r="D16" s="242">
        <v>4100000</v>
      </c>
      <c r="E16" s="242" t="str">
        <f t="shared" si="0"/>
        <v>Hasta COP 3.000.000.00040000000500000000</v>
      </c>
      <c r="F16" s="117"/>
      <c r="G16" s="117"/>
      <c r="I16" s="242"/>
      <c r="J16" s="247"/>
      <c r="K16" s="242"/>
      <c r="L16" s="242"/>
      <c r="M16" s="117"/>
      <c r="N16" s="117"/>
    </row>
    <row r="17" spans="1:14">
      <c r="A17" s="251" t="s">
        <v>432</v>
      </c>
      <c r="B17" s="242">
        <v>40000000</v>
      </c>
      <c r="C17" s="247">
        <v>1000000000</v>
      </c>
      <c r="D17" s="242">
        <v>8200000</v>
      </c>
      <c r="E17" s="242" t="str">
        <f t="shared" si="0"/>
        <v>Hasta COP 3.000.000.000400000001000000000</v>
      </c>
      <c r="F17" s="117"/>
      <c r="G17" s="117"/>
      <c r="I17" s="242"/>
      <c r="J17" s="247"/>
      <c r="K17" s="242"/>
      <c r="L17" s="242"/>
      <c r="M17" s="117"/>
      <c r="N17" s="117"/>
    </row>
    <row r="18" spans="1:14">
      <c r="A18" s="251" t="s">
        <v>432</v>
      </c>
      <c r="B18" s="242">
        <v>40000000</v>
      </c>
      <c r="C18" s="247">
        <v>1500000000</v>
      </c>
      <c r="D18" s="242">
        <v>11500000</v>
      </c>
      <c r="E18" s="242" t="str">
        <f t="shared" si="0"/>
        <v>Hasta COP 3.000.000.000400000001500000000</v>
      </c>
      <c r="F18" s="117"/>
      <c r="G18" s="117"/>
      <c r="I18" s="242"/>
      <c r="J18" s="247"/>
      <c r="K18" s="242"/>
      <c r="L18" s="242"/>
      <c r="M18" s="117"/>
      <c r="N18" s="117"/>
    </row>
    <row r="19" spans="1:14">
      <c r="A19" s="251" t="s">
        <v>432</v>
      </c>
      <c r="B19" s="242">
        <v>55000000</v>
      </c>
      <c r="C19" s="247">
        <v>2000000000</v>
      </c>
      <c r="D19" s="242">
        <v>14000000</v>
      </c>
      <c r="E19" s="242" t="str">
        <f t="shared" si="0"/>
        <v>Hasta COP 3.000.000.000550000002000000000</v>
      </c>
      <c r="F19" s="117"/>
      <c r="G19" s="117"/>
      <c r="I19" s="242"/>
      <c r="J19" s="247"/>
      <c r="K19" s="242"/>
      <c r="L19" s="242"/>
      <c r="M19" s="117"/>
      <c r="N19" s="117"/>
    </row>
    <row r="20" spans="1:14">
      <c r="A20" s="251" t="s">
        <v>432</v>
      </c>
      <c r="B20" s="242">
        <v>55000000</v>
      </c>
      <c r="C20" s="247">
        <v>3000000000</v>
      </c>
      <c r="D20" s="242">
        <v>19800000</v>
      </c>
      <c r="E20" s="242" t="str">
        <f t="shared" si="0"/>
        <v>Hasta COP 3.000.000.000550000003000000000</v>
      </c>
      <c r="F20" s="117"/>
      <c r="G20" s="117"/>
      <c r="I20" s="242"/>
      <c r="J20" s="247"/>
      <c r="K20" s="242"/>
      <c r="L20" s="242"/>
      <c r="M20" s="117"/>
      <c r="N20" s="117"/>
    </row>
    <row r="21" spans="1:14">
      <c r="A21" s="251" t="s">
        <v>432</v>
      </c>
      <c r="B21" s="242">
        <v>60000000</v>
      </c>
      <c r="C21" s="247">
        <v>4000000000</v>
      </c>
      <c r="D21" s="242">
        <v>25100000</v>
      </c>
      <c r="E21" s="242" t="str">
        <f t="shared" si="0"/>
        <v>Hasta COP 3.000.000.000600000004000000000</v>
      </c>
      <c r="F21" s="117"/>
      <c r="G21" s="117"/>
      <c r="I21" s="242"/>
      <c r="J21" s="247"/>
      <c r="K21" s="242"/>
      <c r="L21" s="242"/>
      <c r="M21" s="117"/>
      <c r="N21" s="117"/>
    </row>
    <row r="22" spans="1:14">
      <c r="A22" s="251" t="s">
        <v>432</v>
      </c>
      <c r="B22" s="242">
        <v>60000000</v>
      </c>
      <c r="C22" s="247">
        <v>5000000000</v>
      </c>
      <c r="D22" s="242">
        <v>31000000</v>
      </c>
      <c r="E22" s="242" t="str">
        <f t="shared" si="0"/>
        <v>Hasta COP 3.000.000.000600000005000000000</v>
      </c>
      <c r="F22" s="117"/>
      <c r="G22" s="117"/>
      <c r="I22" s="242"/>
      <c r="J22" s="247"/>
      <c r="K22" s="242"/>
      <c r="L22" s="242"/>
      <c r="M22" s="117"/>
      <c r="N22" s="117"/>
    </row>
    <row r="23" spans="1:14">
      <c r="A23" s="251" t="s">
        <v>433</v>
      </c>
      <c r="B23" s="242">
        <v>30000000</v>
      </c>
      <c r="C23" s="247">
        <v>500000000</v>
      </c>
      <c r="D23" s="242">
        <v>4968000</v>
      </c>
      <c r="E23" s="242" t="str">
        <f t="shared" si="0"/>
        <v>Hasta COP 5.000.000.00030000000500000000</v>
      </c>
      <c r="F23" s="117"/>
      <c r="G23" s="117"/>
      <c r="I23" s="242"/>
      <c r="J23" s="247"/>
      <c r="K23" s="242"/>
      <c r="L23" s="242"/>
      <c r="M23" s="117"/>
      <c r="N23" s="117"/>
    </row>
    <row r="24" spans="1:14">
      <c r="A24" s="251" t="s">
        <v>433</v>
      </c>
      <c r="B24" s="242">
        <v>30000000</v>
      </c>
      <c r="C24" s="247">
        <v>1000000000</v>
      </c>
      <c r="D24" s="242">
        <v>9082500</v>
      </c>
      <c r="E24" s="242" t="str">
        <f t="shared" si="0"/>
        <v>Hasta COP 5.000.000.000300000001000000000</v>
      </c>
      <c r="F24" s="117"/>
      <c r="G24" s="117"/>
      <c r="I24" s="242"/>
      <c r="J24" s="247"/>
      <c r="K24" s="242"/>
      <c r="L24" s="242"/>
      <c r="M24" s="117"/>
      <c r="N24" s="117"/>
    </row>
    <row r="25" spans="1:14">
      <c r="A25" s="251" t="s">
        <v>433</v>
      </c>
      <c r="B25" s="242">
        <v>30000000</v>
      </c>
      <c r="C25" s="247">
        <v>1500000000</v>
      </c>
      <c r="D25" s="242">
        <v>12804300</v>
      </c>
      <c r="E25" s="242" t="str">
        <f t="shared" si="0"/>
        <v>Hasta COP 5.000.000.000300000001500000000</v>
      </c>
      <c r="F25" s="117"/>
      <c r="G25" s="117"/>
      <c r="I25" s="242"/>
      <c r="J25" s="247"/>
      <c r="K25" s="242"/>
      <c r="L25" s="242"/>
      <c r="M25" s="117"/>
      <c r="N25" s="117"/>
    </row>
    <row r="26" spans="1:14">
      <c r="A26" s="251" t="s">
        <v>433</v>
      </c>
      <c r="B26" s="242">
        <v>40000000</v>
      </c>
      <c r="C26" s="247">
        <v>2000000000</v>
      </c>
      <c r="D26" s="242">
        <v>15540700</v>
      </c>
      <c r="E26" s="242" t="str">
        <f t="shared" si="0"/>
        <v>Hasta COP 5.000.000.000400000002000000000</v>
      </c>
      <c r="J26" s="247"/>
    </row>
    <row r="27" spans="1:14">
      <c r="A27" s="251" t="s">
        <v>433</v>
      </c>
      <c r="B27" s="242">
        <v>40000000</v>
      </c>
      <c r="C27" s="247">
        <v>3000000000</v>
      </c>
      <c r="D27" s="242">
        <v>22101750</v>
      </c>
      <c r="E27" s="242" t="str">
        <f t="shared" si="0"/>
        <v>Hasta COP 5.000.000.000400000003000000000</v>
      </c>
      <c r="J27" s="247"/>
    </row>
    <row r="28" spans="1:14">
      <c r="A28" s="251" t="s">
        <v>433</v>
      </c>
      <c r="B28" s="242">
        <v>45000000</v>
      </c>
      <c r="C28" s="247">
        <v>4000000000</v>
      </c>
      <c r="D28" s="242">
        <v>28897200</v>
      </c>
      <c r="E28" s="242" t="str">
        <f t="shared" si="0"/>
        <v>Hasta COP 5.000.000.000450000004000000000</v>
      </c>
      <c r="J28" s="247"/>
    </row>
    <row r="29" spans="1:14">
      <c r="A29" s="251" t="s">
        <v>433</v>
      </c>
      <c r="B29" s="242">
        <v>55000000</v>
      </c>
      <c r="C29" s="247">
        <v>5000000000</v>
      </c>
      <c r="D29" s="242">
        <v>35385000</v>
      </c>
      <c r="E29" s="242" t="str">
        <f t="shared" si="0"/>
        <v>Hasta COP 5.000.000.000550000005000000000</v>
      </c>
      <c r="J29" s="3"/>
    </row>
    <row r="30" spans="1:14">
      <c r="A30" s="251" t="s">
        <v>433</v>
      </c>
      <c r="B30" s="242">
        <v>40000000</v>
      </c>
      <c r="C30" s="247">
        <v>500000000</v>
      </c>
      <c r="D30" s="242">
        <v>4243500</v>
      </c>
      <c r="E30" s="242" t="str">
        <f t="shared" si="0"/>
        <v>Hasta COP 5.000.000.00040000000500000000</v>
      </c>
      <c r="J30" s="3"/>
    </row>
    <row r="31" spans="1:14">
      <c r="A31" s="251" t="s">
        <v>433</v>
      </c>
      <c r="B31" s="242">
        <v>40000000</v>
      </c>
      <c r="C31" s="247">
        <v>1000000000</v>
      </c>
      <c r="D31" s="242">
        <v>8511600</v>
      </c>
      <c r="E31" s="242" t="str">
        <f t="shared" si="0"/>
        <v>Hasta COP 5.000.000.000400000001000000000</v>
      </c>
      <c r="F31" s="251"/>
      <c r="G31" s="251"/>
      <c r="H31" s="251"/>
      <c r="I31" s="251"/>
      <c r="J31" s="251"/>
      <c r="K31" s="251"/>
      <c r="L31" s="251"/>
      <c r="M31" s="251"/>
      <c r="N31" s="251"/>
    </row>
    <row r="32" spans="1:14">
      <c r="A32" s="251" t="s">
        <v>433</v>
      </c>
      <c r="B32" s="242">
        <v>40000000</v>
      </c>
      <c r="C32" s="247">
        <v>1500000000</v>
      </c>
      <c r="D32" s="242">
        <v>11971500</v>
      </c>
      <c r="E32" s="242" t="str">
        <f t="shared" si="0"/>
        <v>Hasta COP 5.000.000.000400000001500000000</v>
      </c>
      <c r="J32" s="3"/>
    </row>
    <row r="33" spans="1:14">
      <c r="A33" s="251" t="s">
        <v>433</v>
      </c>
      <c r="B33" s="242">
        <v>55000000</v>
      </c>
      <c r="C33" s="247">
        <v>2000000000</v>
      </c>
      <c r="D33" s="242">
        <v>14602000</v>
      </c>
      <c r="E33" s="242" t="str">
        <f t="shared" si="0"/>
        <v>Hasta COP 5.000.000.000550000002000000000</v>
      </c>
      <c r="I33" s="242"/>
      <c r="J33" s="247"/>
      <c r="K33" s="242"/>
      <c r="L33" s="242"/>
    </row>
    <row r="34" spans="1:14">
      <c r="A34" s="251" t="s">
        <v>433</v>
      </c>
      <c r="B34" s="242">
        <v>55000000</v>
      </c>
      <c r="C34" s="247">
        <v>3000000000</v>
      </c>
      <c r="D34" s="242">
        <v>20691000</v>
      </c>
      <c r="E34" s="242" t="str">
        <f t="shared" si="0"/>
        <v>Hasta COP 5.000.000.000550000003000000000</v>
      </c>
      <c r="F34" s="117"/>
      <c r="G34" s="117"/>
      <c r="I34" s="242"/>
      <c r="J34" s="247"/>
      <c r="K34" s="242"/>
      <c r="L34" s="242"/>
      <c r="M34" s="117"/>
      <c r="N34" s="117"/>
    </row>
    <row r="35" spans="1:14">
      <c r="A35" s="251" t="s">
        <v>433</v>
      </c>
      <c r="B35" s="242">
        <v>60000000</v>
      </c>
      <c r="C35" s="247">
        <v>4000000000</v>
      </c>
      <c r="D35" s="242">
        <v>26279700</v>
      </c>
      <c r="E35" s="242" t="str">
        <f t="shared" si="0"/>
        <v>Hasta COP 5.000.000.000600000004000000000</v>
      </c>
      <c r="F35" s="117"/>
      <c r="G35" s="117"/>
      <c r="I35" s="242"/>
      <c r="J35" s="247"/>
      <c r="K35" s="242"/>
      <c r="L35" s="242"/>
      <c r="M35" s="117"/>
      <c r="N35" s="117"/>
    </row>
    <row r="36" spans="1:14">
      <c r="A36" s="251" t="s">
        <v>433</v>
      </c>
      <c r="B36" s="242">
        <v>60000000</v>
      </c>
      <c r="C36" s="247">
        <v>5000000000</v>
      </c>
      <c r="D36" s="242">
        <v>32550000</v>
      </c>
      <c r="E36" s="242" t="str">
        <f t="shared" si="0"/>
        <v>Hasta COP 5.000.000.000600000005000000000</v>
      </c>
      <c r="F36" s="117"/>
      <c r="G36" s="117"/>
      <c r="I36" s="242"/>
      <c r="J36" s="247"/>
      <c r="K36" s="242"/>
      <c r="L36" s="242"/>
      <c r="M36" s="117"/>
      <c r="N36" s="117"/>
    </row>
    <row r="37" spans="1:14">
      <c r="A37" s="251" t="s">
        <v>434</v>
      </c>
      <c r="B37" s="242">
        <v>30000000</v>
      </c>
      <c r="C37" s="247">
        <v>500000000</v>
      </c>
      <c r="D37" s="242">
        <v>5166720</v>
      </c>
      <c r="E37" s="242" t="str">
        <f t="shared" si="0"/>
        <v>Hasta COP 7.500.000.00030000000500000000</v>
      </c>
      <c r="F37" s="117"/>
      <c r="G37" s="117"/>
      <c r="I37" s="242"/>
      <c r="J37" s="247"/>
      <c r="K37" s="242"/>
      <c r="L37" s="242"/>
      <c r="M37" s="117"/>
      <c r="N37" s="117"/>
    </row>
    <row r="38" spans="1:14">
      <c r="A38" s="251" t="s">
        <v>434</v>
      </c>
      <c r="B38" s="242">
        <v>30000000</v>
      </c>
      <c r="C38" s="247">
        <v>1000000000</v>
      </c>
      <c r="D38" s="242">
        <v>9454882.5</v>
      </c>
      <c r="E38" s="242" t="str">
        <f t="shared" si="0"/>
        <v>Hasta COP 7.500.000.000300000001000000000</v>
      </c>
      <c r="F38" s="117"/>
      <c r="G38" s="117"/>
      <c r="I38" s="242"/>
      <c r="J38" s="247"/>
      <c r="K38" s="242"/>
      <c r="L38" s="242"/>
      <c r="M38" s="117"/>
      <c r="N38" s="117"/>
    </row>
    <row r="39" spans="1:14">
      <c r="A39" s="251" t="s">
        <v>434</v>
      </c>
      <c r="B39" s="242">
        <v>30000000</v>
      </c>
      <c r="C39" s="247">
        <v>1500000000</v>
      </c>
      <c r="D39" s="242">
        <v>13342080.6</v>
      </c>
      <c r="E39" s="242" t="str">
        <f t="shared" si="0"/>
        <v>Hasta COP 7.500.000.000300000001500000000</v>
      </c>
      <c r="F39" s="117"/>
      <c r="G39" s="117"/>
      <c r="I39" s="242"/>
      <c r="J39" s="247"/>
      <c r="K39" s="242"/>
      <c r="L39" s="242"/>
      <c r="M39" s="117"/>
      <c r="N39" s="117"/>
    </row>
    <row r="40" spans="1:14">
      <c r="A40" s="251" t="s">
        <v>434</v>
      </c>
      <c r="B40" s="242">
        <v>40000000</v>
      </c>
      <c r="C40" s="247">
        <v>2000000000</v>
      </c>
      <c r="D40" s="242">
        <v>16208950.1</v>
      </c>
      <c r="E40" s="242" t="str">
        <f t="shared" si="0"/>
        <v>Hasta COP 7.500.000.000400000002000000000</v>
      </c>
      <c r="J40" s="3"/>
    </row>
    <row r="41" spans="1:14">
      <c r="A41" s="251" t="s">
        <v>434</v>
      </c>
      <c r="B41" s="242">
        <v>40000000</v>
      </c>
      <c r="C41" s="247">
        <v>3000000000</v>
      </c>
      <c r="D41" s="242">
        <v>23096328.75</v>
      </c>
      <c r="E41" s="242" t="str">
        <f t="shared" si="0"/>
        <v>Hasta COP 7.500.000.000400000003000000000</v>
      </c>
      <c r="J41" s="3"/>
    </row>
    <row r="42" spans="1:14">
      <c r="A42" s="251" t="s">
        <v>434</v>
      </c>
      <c r="B42" s="242">
        <v>45000000</v>
      </c>
      <c r="C42" s="247">
        <v>4000000000</v>
      </c>
      <c r="D42" s="242">
        <v>30226471.199999999</v>
      </c>
      <c r="E42" s="242" t="str">
        <f t="shared" si="0"/>
        <v>Hasta COP 7.500.000.000450000004000000000</v>
      </c>
      <c r="J42" s="3"/>
    </row>
    <row r="43" spans="1:14">
      <c r="A43" s="251" t="s">
        <v>434</v>
      </c>
      <c r="B43" s="242">
        <v>55000000</v>
      </c>
      <c r="C43" s="247">
        <v>5000000000</v>
      </c>
      <c r="D43" s="242">
        <v>37048095</v>
      </c>
      <c r="E43" s="242" t="str">
        <f t="shared" si="0"/>
        <v>Hasta COP 7.500.000.000550000005000000000</v>
      </c>
      <c r="F43" s="251"/>
      <c r="G43" s="251"/>
      <c r="H43" s="251"/>
      <c r="I43" s="251"/>
      <c r="J43" s="251"/>
      <c r="K43" s="251"/>
      <c r="L43" s="251"/>
      <c r="M43" s="251"/>
      <c r="N43" s="251"/>
    </row>
    <row r="44" spans="1:14">
      <c r="A44" s="251" t="s">
        <v>434</v>
      </c>
      <c r="B44" s="242">
        <v>40000000</v>
      </c>
      <c r="C44" s="247">
        <v>500000000</v>
      </c>
      <c r="D44" s="242">
        <v>4413240</v>
      </c>
      <c r="E44" s="242" t="str">
        <f t="shared" si="0"/>
        <v>Hasta COP 7.500.000.00040000000500000000</v>
      </c>
      <c r="I44" s="3"/>
    </row>
    <row r="45" spans="1:14">
      <c r="A45" s="251" t="s">
        <v>434</v>
      </c>
      <c r="B45" s="242">
        <v>40000000</v>
      </c>
      <c r="C45" s="247">
        <v>1000000000</v>
      </c>
      <c r="D45" s="242">
        <v>8860575.5999999996</v>
      </c>
      <c r="E45" s="242" t="str">
        <f t="shared" si="0"/>
        <v>Hasta COP 7.500.000.000400000001000000000</v>
      </c>
      <c r="I45" s="242"/>
      <c r="J45" s="247"/>
      <c r="K45" s="242"/>
      <c r="L45" s="242"/>
    </row>
    <row r="46" spans="1:14">
      <c r="A46" s="251" t="s">
        <v>434</v>
      </c>
      <c r="B46" s="242">
        <v>40000000</v>
      </c>
      <c r="C46" s="247">
        <v>1500000000</v>
      </c>
      <c r="D46" s="242">
        <v>12474303</v>
      </c>
      <c r="E46" s="242" t="str">
        <f t="shared" si="0"/>
        <v>Hasta COP 7.500.000.000400000001500000000</v>
      </c>
      <c r="F46" s="117"/>
      <c r="G46" s="117"/>
      <c r="I46" s="242"/>
      <c r="J46" s="247"/>
      <c r="K46" s="242"/>
      <c r="L46" s="242"/>
      <c r="M46" s="117"/>
      <c r="N46" s="117"/>
    </row>
    <row r="47" spans="1:14">
      <c r="A47" s="251" t="s">
        <v>434</v>
      </c>
      <c r="B47" s="242">
        <v>55000000</v>
      </c>
      <c r="C47" s="247">
        <v>2000000000</v>
      </c>
      <c r="D47" s="242">
        <v>15229886</v>
      </c>
      <c r="E47" s="242" t="str">
        <f t="shared" si="0"/>
        <v>Hasta COP 7.500.000.000550000002000000000</v>
      </c>
      <c r="F47" s="117"/>
      <c r="G47" s="117"/>
      <c r="I47" s="242"/>
      <c r="J47" s="247"/>
      <c r="K47" s="242"/>
      <c r="L47" s="242"/>
      <c r="M47" s="117"/>
      <c r="N47" s="117"/>
    </row>
    <row r="48" spans="1:14">
      <c r="A48" s="251" t="s">
        <v>434</v>
      </c>
      <c r="B48" s="242">
        <v>55000000</v>
      </c>
      <c r="C48" s="247">
        <v>3000000000</v>
      </c>
      <c r="D48" s="242">
        <v>21622095</v>
      </c>
      <c r="E48" s="242" t="str">
        <f t="shared" si="0"/>
        <v>Hasta COP 7.500.000.000550000003000000000</v>
      </c>
      <c r="F48" s="117"/>
      <c r="G48" s="117"/>
      <c r="I48" s="242"/>
      <c r="J48" s="247"/>
      <c r="K48" s="242"/>
      <c r="L48" s="242"/>
      <c r="M48" s="117"/>
      <c r="N48" s="117"/>
    </row>
    <row r="49" spans="1:14">
      <c r="A49" s="251" t="s">
        <v>434</v>
      </c>
      <c r="B49" s="242">
        <v>60000000</v>
      </c>
      <c r="C49" s="247">
        <v>4000000000</v>
      </c>
      <c r="D49" s="242">
        <v>27488566.199999999</v>
      </c>
      <c r="E49" s="242" t="str">
        <f t="shared" si="0"/>
        <v>Hasta COP 7.500.000.000600000004000000000</v>
      </c>
      <c r="F49" s="117"/>
      <c r="G49" s="117"/>
      <c r="I49" s="242"/>
      <c r="J49" s="247"/>
      <c r="K49" s="242"/>
      <c r="L49" s="242"/>
      <c r="M49" s="117"/>
      <c r="N49" s="117"/>
    </row>
    <row r="50" spans="1:14">
      <c r="A50" s="251" t="s">
        <v>434</v>
      </c>
      <c r="B50" s="242">
        <v>60000000</v>
      </c>
      <c r="C50" s="247">
        <v>5000000000</v>
      </c>
      <c r="D50" s="242">
        <v>34079850</v>
      </c>
      <c r="E50" s="242" t="str">
        <f t="shared" si="0"/>
        <v>Hasta COP 7.500.000.000600000005000000000</v>
      </c>
      <c r="F50" s="117"/>
      <c r="G50" s="117"/>
      <c r="I50" s="242"/>
      <c r="J50" s="247"/>
      <c r="K50" s="242"/>
      <c r="L50" s="242"/>
      <c r="M50" s="117"/>
      <c r="N50" s="117"/>
    </row>
    <row r="51" spans="1:14">
      <c r="A51" s="251" t="s">
        <v>435</v>
      </c>
      <c r="B51" s="242">
        <v>30000000</v>
      </c>
      <c r="C51" s="247">
        <v>500000000</v>
      </c>
      <c r="D51" s="242">
        <v>5373388.7999999998</v>
      </c>
      <c r="E51" s="242" t="str">
        <f t="shared" si="0"/>
        <v>Hasta COP 10.000.000.00030000000500000000</v>
      </c>
      <c r="F51" s="117"/>
      <c r="G51" s="117"/>
      <c r="I51" s="242"/>
      <c r="J51" s="247"/>
      <c r="K51" s="242"/>
      <c r="L51" s="242"/>
      <c r="M51" s="117"/>
      <c r="N51" s="117"/>
    </row>
    <row r="52" spans="1:14">
      <c r="A52" s="251" t="s">
        <v>435</v>
      </c>
      <c r="B52" s="242">
        <v>30000000</v>
      </c>
      <c r="C52" s="247">
        <v>1000000000</v>
      </c>
      <c r="D52" s="242">
        <v>9833077.8000000007</v>
      </c>
      <c r="E52" s="242" t="str">
        <f t="shared" si="0"/>
        <v>Hasta COP 10.000.000.000300000001000000000</v>
      </c>
      <c r="J52" s="3"/>
    </row>
    <row r="53" spans="1:14">
      <c r="A53" s="251" t="s">
        <v>435</v>
      </c>
      <c r="B53" s="242">
        <v>30000000</v>
      </c>
      <c r="C53" s="247">
        <v>1500000000</v>
      </c>
      <c r="D53" s="242">
        <v>13902447.985199999</v>
      </c>
      <c r="E53" s="242" t="str">
        <f t="shared" si="0"/>
        <v>Hasta COP 10.000.000.000300000001500000000</v>
      </c>
      <c r="J53" s="3"/>
    </row>
    <row r="54" spans="1:14">
      <c r="A54" s="251" t="s">
        <v>435</v>
      </c>
      <c r="B54" s="242">
        <v>40000000</v>
      </c>
      <c r="C54" s="247">
        <v>2000000000</v>
      </c>
      <c r="D54" s="242">
        <v>16905934.954300001</v>
      </c>
      <c r="E54" s="242" t="str">
        <f t="shared" si="0"/>
        <v>Hasta COP 10.000.000.000400000002000000000</v>
      </c>
      <c r="F54" s="251"/>
      <c r="G54" s="251"/>
      <c r="H54" s="251"/>
      <c r="I54" s="251"/>
      <c r="J54" s="251"/>
      <c r="K54" s="251"/>
      <c r="L54" s="251"/>
      <c r="M54" s="251"/>
      <c r="N54" s="251"/>
    </row>
    <row r="55" spans="1:14">
      <c r="A55" s="251" t="s">
        <v>435</v>
      </c>
      <c r="B55" s="242">
        <v>40000000</v>
      </c>
      <c r="C55" s="247">
        <v>3000000000</v>
      </c>
      <c r="D55" s="242">
        <v>24112567.215</v>
      </c>
      <c r="E55" s="242" t="str">
        <f t="shared" si="0"/>
        <v>Hasta COP 10.000.000.000400000003000000000</v>
      </c>
      <c r="I55" s="3"/>
    </row>
    <row r="56" spans="1:14">
      <c r="A56" s="251" t="s">
        <v>435</v>
      </c>
      <c r="B56" s="242">
        <v>45000000</v>
      </c>
      <c r="C56" s="247">
        <v>4000000000</v>
      </c>
      <c r="D56" s="242">
        <v>31586662.403999999</v>
      </c>
      <c r="E56" s="242" t="str">
        <f t="shared" si="0"/>
        <v>Hasta COP 10.000.000.000450000004000000000</v>
      </c>
      <c r="I56" s="242"/>
      <c r="J56" s="247"/>
      <c r="K56" s="242"/>
      <c r="L56" s="242"/>
    </row>
    <row r="57" spans="1:14">
      <c r="A57" s="251" t="s">
        <v>435</v>
      </c>
      <c r="B57" s="242">
        <v>55000000</v>
      </c>
      <c r="C57" s="247">
        <v>5000000000</v>
      </c>
      <c r="D57" s="242">
        <v>38752307.369999997</v>
      </c>
      <c r="E57" s="242" t="str">
        <f t="shared" si="0"/>
        <v>Hasta COP 10.000.000.000550000005000000000</v>
      </c>
      <c r="F57" s="117"/>
      <c r="G57" s="117"/>
      <c r="I57" s="242"/>
      <c r="J57" s="247"/>
      <c r="K57" s="242"/>
      <c r="L57" s="242"/>
      <c r="M57" s="117"/>
      <c r="N57" s="117"/>
    </row>
    <row r="58" spans="1:14">
      <c r="A58" s="251" t="s">
        <v>435</v>
      </c>
      <c r="B58" s="242">
        <v>40000000</v>
      </c>
      <c r="C58" s="247">
        <v>500000000</v>
      </c>
      <c r="D58" s="242">
        <v>4589769.5999999996</v>
      </c>
      <c r="E58" s="242" t="str">
        <f t="shared" si="0"/>
        <v>Hasta COP 10.000.000.00040000000500000000</v>
      </c>
      <c r="F58" s="117"/>
      <c r="G58" s="117"/>
      <c r="I58" s="242"/>
      <c r="J58" s="247"/>
      <c r="K58" s="242"/>
      <c r="L58" s="242"/>
      <c r="M58" s="117"/>
      <c r="N58" s="117"/>
    </row>
    <row r="59" spans="1:14">
      <c r="A59" s="251" t="s">
        <v>435</v>
      </c>
      <c r="B59" s="242">
        <v>40000000</v>
      </c>
      <c r="C59" s="247">
        <v>1000000000</v>
      </c>
      <c r="D59" s="242">
        <v>9214998.6239999998</v>
      </c>
      <c r="E59" s="242" t="str">
        <f t="shared" si="0"/>
        <v>Hasta COP 10.000.000.000400000001000000000</v>
      </c>
      <c r="F59" s="117"/>
      <c r="G59" s="117"/>
      <c r="I59" s="242"/>
      <c r="J59" s="247"/>
      <c r="K59" s="242"/>
      <c r="L59" s="242"/>
      <c r="M59" s="117"/>
      <c r="N59" s="117"/>
    </row>
    <row r="60" spans="1:14">
      <c r="A60" s="251" t="s">
        <v>435</v>
      </c>
      <c r="B60" s="242">
        <v>40000000</v>
      </c>
      <c r="C60" s="247">
        <v>1500000000</v>
      </c>
      <c r="D60" s="242">
        <v>12998223.726</v>
      </c>
      <c r="E60" s="242" t="str">
        <f t="shared" si="0"/>
        <v>Hasta COP 10.000.000.000400000001500000000</v>
      </c>
      <c r="F60" s="117"/>
      <c r="G60" s="117"/>
      <c r="I60" s="242"/>
      <c r="J60" s="247"/>
      <c r="K60" s="242"/>
      <c r="L60" s="242"/>
      <c r="M60" s="117"/>
      <c r="N60" s="117"/>
    </row>
    <row r="61" spans="1:14">
      <c r="A61" s="251" t="s">
        <v>435</v>
      </c>
      <c r="B61" s="242">
        <v>55000000</v>
      </c>
      <c r="C61" s="247">
        <v>2000000000</v>
      </c>
      <c r="D61" s="242">
        <v>15884771.097999999</v>
      </c>
      <c r="E61" s="242" t="str">
        <f t="shared" si="0"/>
        <v>Hasta COP 10.000.000.000550000002000000000</v>
      </c>
      <c r="F61" s="117"/>
      <c r="G61" s="117"/>
      <c r="I61" s="242"/>
      <c r="J61" s="247"/>
      <c r="K61" s="242"/>
      <c r="L61" s="242"/>
      <c r="M61" s="117"/>
      <c r="N61" s="117"/>
    </row>
    <row r="62" spans="1:14">
      <c r="A62" s="251" t="s">
        <v>435</v>
      </c>
      <c r="B62" s="242">
        <v>55000000</v>
      </c>
      <c r="C62" s="247">
        <v>3000000000</v>
      </c>
      <c r="D62" s="242">
        <v>22573467.18</v>
      </c>
      <c r="E62" s="242" t="str">
        <f t="shared" si="0"/>
        <v>Hasta COP 10.000.000.000550000003000000000</v>
      </c>
      <c r="F62" s="117"/>
      <c r="G62" s="117"/>
      <c r="I62" s="242"/>
      <c r="J62" s="247"/>
      <c r="K62" s="242"/>
      <c r="L62" s="242"/>
      <c r="M62" s="117"/>
      <c r="N62" s="117"/>
    </row>
    <row r="63" spans="1:14">
      <c r="A63" s="251" t="s">
        <v>435</v>
      </c>
      <c r="B63" s="242">
        <v>60000000</v>
      </c>
      <c r="C63" s="247">
        <v>4000000000</v>
      </c>
      <c r="D63" s="242">
        <v>28725551.678999998</v>
      </c>
      <c r="E63" s="242" t="str">
        <f t="shared" si="0"/>
        <v>Hasta COP 10.000.000.000600000004000000000</v>
      </c>
      <c r="J63" s="3"/>
    </row>
    <row r="64" spans="1:14">
      <c r="A64" s="251" t="s">
        <v>435</v>
      </c>
      <c r="B64" s="242">
        <v>60000000</v>
      </c>
      <c r="C64" s="247">
        <v>5000000000</v>
      </c>
      <c r="D64" s="242">
        <v>35647523.100000001</v>
      </c>
      <c r="E64" s="242" t="str">
        <f t="shared" si="0"/>
        <v>Hasta COP 10.000.000.000600000005000000000</v>
      </c>
      <c r="J64" s="3"/>
    </row>
    <row r="65" spans="1:14">
      <c r="A65" s="251" t="s">
        <v>97</v>
      </c>
      <c r="B65" s="242">
        <v>30000000</v>
      </c>
      <c r="C65" s="247">
        <v>500000000</v>
      </c>
      <c r="D65" s="242">
        <v>5588324.352</v>
      </c>
      <c r="E65" s="242" t="str">
        <f t="shared" si="0"/>
        <v>Hasta COP 15.000.000.00030000000500000000</v>
      </c>
      <c r="J65" s="3"/>
    </row>
    <row r="66" spans="1:14">
      <c r="A66" s="251" t="s">
        <v>97</v>
      </c>
      <c r="B66" s="242">
        <v>30000000</v>
      </c>
      <c r="C66" s="247">
        <v>1000000000</v>
      </c>
      <c r="D66" s="242">
        <v>10226400.912</v>
      </c>
      <c r="E66" s="242" t="str">
        <f t="shared" si="0"/>
        <v>Hasta COP 15.000.000.000300000001000000000</v>
      </c>
      <c r="F66" s="251"/>
      <c r="G66" s="251"/>
      <c r="H66" s="251"/>
      <c r="I66" s="251"/>
      <c r="J66" s="251"/>
      <c r="K66" s="251"/>
      <c r="L66" s="251"/>
      <c r="M66" s="251"/>
      <c r="N66" s="251"/>
    </row>
    <row r="67" spans="1:14">
      <c r="A67" s="251" t="s">
        <v>97</v>
      </c>
      <c r="B67" s="242">
        <v>30000000</v>
      </c>
      <c r="C67" s="247">
        <v>1500000000</v>
      </c>
      <c r="D67" s="242">
        <v>14514155.696548799</v>
      </c>
      <c r="E67" s="242" t="str">
        <f t="shared" si="0"/>
        <v>Hasta COP 15.000.000.000300000001500000000</v>
      </c>
      <c r="I67" s="3"/>
    </row>
    <row r="68" spans="1:14">
      <c r="A68" s="251" t="s">
        <v>97</v>
      </c>
      <c r="B68" s="242">
        <v>40000000</v>
      </c>
      <c r="C68" s="247">
        <v>2000000000</v>
      </c>
      <c r="D68" s="242">
        <v>17649796.092289202</v>
      </c>
      <c r="E68" s="242" t="str">
        <f t="shared" si="0"/>
        <v>Hasta COP 15.000.000.000400000002000000000</v>
      </c>
      <c r="I68" s="242"/>
      <c r="J68" s="247"/>
      <c r="K68" s="242"/>
      <c r="L68" s="242"/>
    </row>
    <row r="69" spans="1:14">
      <c r="A69" s="251" t="s">
        <v>97</v>
      </c>
      <c r="B69" s="242">
        <v>40000000</v>
      </c>
      <c r="C69" s="247">
        <v>3000000000</v>
      </c>
      <c r="D69" s="242">
        <v>25173520.172460001</v>
      </c>
      <c r="E69" s="242" t="str">
        <f t="shared" si="0"/>
        <v>Hasta COP 15.000.000.000400000003000000000</v>
      </c>
      <c r="F69" s="117"/>
      <c r="G69" s="117"/>
      <c r="I69" s="242"/>
      <c r="J69" s="247"/>
      <c r="K69" s="242"/>
      <c r="L69" s="242"/>
      <c r="M69" s="117"/>
      <c r="N69" s="117"/>
    </row>
    <row r="70" spans="1:14">
      <c r="A70" s="251" t="s">
        <v>97</v>
      </c>
      <c r="B70" s="242">
        <v>45000000</v>
      </c>
      <c r="C70" s="247">
        <v>4000000000</v>
      </c>
      <c r="D70" s="242">
        <v>32976475.549775999</v>
      </c>
      <c r="E70" s="242" t="str">
        <f t="shared" si="0"/>
        <v>Hasta COP 15.000.000.000450000004000000000</v>
      </c>
      <c r="F70" s="117"/>
      <c r="G70" s="117"/>
      <c r="I70" s="242"/>
      <c r="J70" s="247"/>
      <c r="K70" s="242"/>
      <c r="L70" s="242"/>
      <c r="M70" s="117"/>
      <c r="N70" s="117"/>
    </row>
    <row r="71" spans="1:14">
      <c r="A71" s="251" t="s">
        <v>97</v>
      </c>
      <c r="B71" s="242">
        <v>55000000</v>
      </c>
      <c r="C71" s="247">
        <v>5000000000</v>
      </c>
      <c r="D71" s="242">
        <v>40457408.894279994</v>
      </c>
      <c r="E71" s="242" t="str">
        <f t="shared" si="0"/>
        <v>Hasta COP 15.000.000.000550000005000000000</v>
      </c>
      <c r="F71" s="117"/>
      <c r="G71" s="117"/>
      <c r="I71" s="242"/>
      <c r="J71" s="247"/>
      <c r="K71" s="242"/>
      <c r="L71" s="242"/>
      <c r="M71" s="117"/>
      <c r="N71" s="117"/>
    </row>
    <row r="72" spans="1:14">
      <c r="A72" s="251" t="s">
        <v>97</v>
      </c>
      <c r="B72" s="242">
        <v>40000000</v>
      </c>
      <c r="C72" s="247">
        <v>500000000</v>
      </c>
      <c r="D72" s="242">
        <v>4773360.3839999996</v>
      </c>
      <c r="E72" s="242" t="str">
        <f t="shared" si="0"/>
        <v>Hasta COP 15.000.000.00040000000500000000</v>
      </c>
      <c r="F72" s="117"/>
      <c r="G72" s="117"/>
      <c r="I72" s="242"/>
      <c r="J72" s="247"/>
      <c r="K72" s="242"/>
      <c r="L72" s="242"/>
      <c r="M72" s="117"/>
      <c r="N72" s="117"/>
    </row>
    <row r="73" spans="1:14">
      <c r="A73" s="251" t="s">
        <v>97</v>
      </c>
      <c r="B73" s="242">
        <v>40000000</v>
      </c>
      <c r="C73" s="247">
        <v>1000000000</v>
      </c>
      <c r="D73" s="242">
        <v>9583598.5689599998</v>
      </c>
      <c r="E73" s="242" t="str">
        <f t="shared" ref="E73:E92" si="1">CONCATENATE(A73,B73,C73)</f>
        <v>Hasta COP 15.000.000.000400000001000000000</v>
      </c>
      <c r="F73" s="117"/>
      <c r="G73" s="117"/>
      <c r="I73" s="242"/>
      <c r="J73" s="247"/>
      <c r="K73" s="242"/>
      <c r="L73" s="242"/>
      <c r="M73" s="117"/>
      <c r="N73" s="117"/>
    </row>
    <row r="74" spans="1:14">
      <c r="A74" s="251" t="s">
        <v>97</v>
      </c>
      <c r="B74" s="242">
        <v>40000000</v>
      </c>
      <c r="C74" s="247">
        <v>1500000000</v>
      </c>
      <c r="D74" s="242">
        <v>13570145.569944</v>
      </c>
      <c r="E74" s="242" t="str">
        <f t="shared" si="1"/>
        <v>Hasta COP 15.000.000.000400000001500000000</v>
      </c>
      <c r="F74" s="117"/>
      <c r="G74" s="117"/>
      <c r="I74" s="242"/>
      <c r="J74" s="247"/>
      <c r="K74" s="242"/>
      <c r="L74" s="242"/>
      <c r="M74" s="117"/>
      <c r="N74" s="117"/>
    </row>
    <row r="75" spans="1:14">
      <c r="A75" s="251" t="s">
        <v>97</v>
      </c>
      <c r="B75" s="242">
        <v>55000000</v>
      </c>
      <c r="C75" s="247">
        <v>2000000000</v>
      </c>
      <c r="D75" s="242">
        <v>16583701.026311999</v>
      </c>
      <c r="E75" s="242" t="str">
        <f t="shared" si="1"/>
        <v>Hasta COP 15.000.000.000550000002000000000</v>
      </c>
      <c r="J75" s="3"/>
    </row>
    <row r="76" spans="1:14">
      <c r="A76" s="251" t="s">
        <v>97</v>
      </c>
      <c r="B76" s="242">
        <v>55000000</v>
      </c>
      <c r="C76" s="247">
        <v>3000000000</v>
      </c>
      <c r="D76" s="242">
        <v>23566699.735920001</v>
      </c>
      <c r="E76" s="242" t="str">
        <f t="shared" si="1"/>
        <v>Hasta COP 15.000.000.000550000003000000000</v>
      </c>
      <c r="J76" s="3"/>
    </row>
    <row r="77" spans="1:14">
      <c r="A77" s="251" t="s">
        <v>97</v>
      </c>
      <c r="B77" s="242">
        <v>60000000</v>
      </c>
      <c r="C77" s="247">
        <v>4000000000</v>
      </c>
      <c r="D77" s="242">
        <v>29989475.952875998</v>
      </c>
      <c r="E77" s="242" t="str">
        <f t="shared" si="1"/>
        <v>Hasta COP 15.000.000.000600000004000000000</v>
      </c>
      <c r="F77" s="251"/>
      <c r="G77" s="251"/>
      <c r="H77" s="251"/>
      <c r="I77" s="251"/>
      <c r="J77" s="251"/>
      <c r="K77" s="251"/>
      <c r="L77" s="251"/>
      <c r="M77" s="251"/>
      <c r="N77" s="251"/>
    </row>
    <row r="78" spans="1:14">
      <c r="A78" s="251" t="s">
        <v>97</v>
      </c>
      <c r="B78" s="242">
        <v>60000000</v>
      </c>
      <c r="C78" s="247">
        <v>5000000000</v>
      </c>
      <c r="D78" s="242">
        <v>37216014.116400003</v>
      </c>
      <c r="E78" s="242" t="str">
        <f t="shared" si="1"/>
        <v>Hasta COP 15.000.000.000600000005000000000</v>
      </c>
      <c r="I78" s="3"/>
    </row>
    <row r="79" spans="1:14">
      <c r="A79" s="251" t="s">
        <v>16</v>
      </c>
      <c r="B79" s="242">
        <v>30000000</v>
      </c>
      <c r="C79" s="247">
        <v>500000000</v>
      </c>
      <c r="D79" s="242">
        <v>5839798.9478399996</v>
      </c>
      <c r="E79" s="242" t="str">
        <f t="shared" si="1"/>
        <v>Hasta COP 20.000.000.00030000000500000000</v>
      </c>
      <c r="I79" s="242"/>
      <c r="J79" s="247"/>
      <c r="K79" s="242"/>
      <c r="L79" s="242"/>
    </row>
    <row r="80" spans="1:14">
      <c r="A80" s="251" t="s">
        <v>16</v>
      </c>
      <c r="B80" s="242">
        <v>30000000</v>
      </c>
      <c r="C80" s="247">
        <v>1000000000</v>
      </c>
      <c r="D80" s="242">
        <v>10489052.156544</v>
      </c>
      <c r="E80" s="242" t="str">
        <f t="shared" si="1"/>
        <v>Hasta COP 20.000.000.000300000001000000000</v>
      </c>
      <c r="F80" s="117"/>
      <c r="G80" s="117"/>
      <c r="I80" s="242"/>
      <c r="J80" s="247"/>
      <c r="K80" s="242"/>
      <c r="L80" s="242"/>
      <c r="M80" s="117"/>
      <c r="N80" s="117"/>
    </row>
    <row r="81" spans="1:14">
      <c r="A81" s="251" t="s">
        <v>16</v>
      </c>
      <c r="B81" s="242">
        <v>30000000</v>
      </c>
      <c r="C81" s="247">
        <v>1500000000</v>
      </c>
      <c r="D81" s="242">
        <v>15326948.415555531</v>
      </c>
      <c r="E81" s="242" t="str">
        <f t="shared" si="1"/>
        <v>Hasta COP 20.000.000.000300000001500000000</v>
      </c>
      <c r="F81" s="117"/>
      <c r="G81" s="117"/>
      <c r="I81" s="242"/>
      <c r="J81" s="247"/>
      <c r="K81" s="242"/>
      <c r="L81" s="242"/>
      <c r="M81" s="117"/>
      <c r="N81" s="117"/>
    </row>
    <row r="82" spans="1:14">
      <c r="A82" s="251" t="s">
        <v>16</v>
      </c>
      <c r="B82" s="242">
        <v>40000000</v>
      </c>
      <c r="C82" s="247">
        <v>2000000000</v>
      </c>
      <c r="D82" s="242">
        <v>18638184.673457399</v>
      </c>
      <c r="E82" s="242" t="str">
        <f t="shared" si="1"/>
        <v>Hasta COP 20.000.000.000400000002000000000</v>
      </c>
      <c r="F82" s="117"/>
      <c r="G82" s="117"/>
      <c r="I82" s="242"/>
      <c r="J82" s="247"/>
      <c r="K82" s="242"/>
      <c r="L82" s="242"/>
      <c r="M82" s="117"/>
      <c r="N82" s="117"/>
    </row>
    <row r="83" spans="1:14">
      <c r="A83" s="251" t="s">
        <v>16</v>
      </c>
      <c r="B83" s="242">
        <v>40000000</v>
      </c>
      <c r="C83" s="247">
        <v>3000000000</v>
      </c>
      <c r="D83" s="242">
        <v>26633584.342462681</v>
      </c>
      <c r="E83" s="242" t="str">
        <f t="shared" si="1"/>
        <v>Hasta COP 20.000.000.000400000003000000000</v>
      </c>
      <c r="F83" s="117"/>
      <c r="G83" s="117"/>
      <c r="I83" s="242"/>
      <c r="J83" s="247"/>
      <c r="K83" s="242"/>
      <c r="L83" s="242"/>
      <c r="M83" s="117"/>
      <c r="N83" s="117"/>
    </row>
    <row r="84" spans="1:14">
      <c r="A84" s="251" t="s">
        <v>16</v>
      </c>
      <c r="B84" s="242">
        <v>45000000</v>
      </c>
      <c r="C84" s="247">
        <v>4000000000</v>
      </c>
      <c r="D84" s="242">
        <v>34988040.558312334</v>
      </c>
      <c r="E84" s="242" t="str">
        <f t="shared" si="1"/>
        <v>Hasta COP 20.000.000.000450000004000000000</v>
      </c>
      <c r="F84" s="117"/>
      <c r="G84" s="117"/>
      <c r="I84" s="242"/>
      <c r="J84" s="247"/>
      <c r="K84" s="242"/>
      <c r="L84" s="242"/>
      <c r="M84" s="117"/>
      <c r="N84" s="117"/>
    </row>
    <row r="85" spans="1:14">
      <c r="A85" s="251" t="s">
        <v>16</v>
      </c>
      <c r="B85" s="242">
        <v>55000000</v>
      </c>
      <c r="C85" s="247">
        <v>5000000000</v>
      </c>
      <c r="D85" s="242">
        <v>42884853.427936792</v>
      </c>
      <c r="E85" s="242" t="str">
        <f t="shared" si="1"/>
        <v>Hasta COP 20.000.000.000550000005000000000</v>
      </c>
      <c r="F85" s="117"/>
      <c r="G85" s="117"/>
      <c r="I85" s="242"/>
      <c r="J85" s="247"/>
      <c r="K85" s="242"/>
      <c r="L85" s="242"/>
      <c r="M85" s="117"/>
      <c r="N85" s="117"/>
    </row>
    <row r="86" spans="1:14">
      <c r="A86" s="251" t="s">
        <v>16</v>
      </c>
      <c r="B86" s="242">
        <v>40000000</v>
      </c>
      <c r="C86" s="247">
        <v>500000000</v>
      </c>
      <c r="D86" s="242">
        <v>4988161.6012800001</v>
      </c>
      <c r="E86" s="242" t="str">
        <f t="shared" si="1"/>
        <v>Hasta COP 20.000.000.00040000000500000000</v>
      </c>
    </row>
    <row r="87" spans="1:14">
      <c r="A87" s="251" t="s">
        <v>16</v>
      </c>
      <c r="B87" s="242">
        <v>40000000</v>
      </c>
      <c r="C87" s="247">
        <v>1000000000</v>
      </c>
      <c r="D87" s="242">
        <v>9807946.5070079993</v>
      </c>
      <c r="E87" s="242" t="str">
        <f t="shared" si="1"/>
        <v>Hasta COP 20.000.000.000400000001000000000</v>
      </c>
    </row>
    <row r="88" spans="1:14">
      <c r="A88" s="251" t="s">
        <v>16</v>
      </c>
      <c r="B88" s="242">
        <v>40000000</v>
      </c>
      <c r="C88" s="247">
        <v>1500000000</v>
      </c>
      <c r="D88" s="242">
        <v>14330073.721860863</v>
      </c>
      <c r="E88" s="242" t="str">
        <f t="shared" si="1"/>
        <v>Hasta COP 20.000.000.000400000001500000000</v>
      </c>
    </row>
    <row r="89" spans="1:14">
      <c r="A89" s="251" t="s">
        <v>16</v>
      </c>
      <c r="B89" s="242">
        <v>55000000</v>
      </c>
      <c r="C89" s="247">
        <v>2000000000</v>
      </c>
      <c r="D89" s="242">
        <v>17512388.28378547</v>
      </c>
      <c r="E89" s="242" t="str">
        <f t="shared" si="1"/>
        <v>Hasta COP 20.000.000.000550000002000000000</v>
      </c>
    </row>
    <row r="90" spans="1:14">
      <c r="A90" s="251" t="s">
        <v>16</v>
      </c>
      <c r="B90" s="242">
        <v>55000000</v>
      </c>
      <c r="C90" s="247">
        <v>3000000000</v>
      </c>
      <c r="D90" s="242">
        <v>24933568.320603359</v>
      </c>
      <c r="E90" s="242" t="str">
        <f t="shared" si="1"/>
        <v>Hasta COP 20.000.000.000550000003000000000</v>
      </c>
    </row>
    <row r="91" spans="1:14">
      <c r="A91" s="251" t="s">
        <v>16</v>
      </c>
      <c r="B91" s="242">
        <v>60000000</v>
      </c>
      <c r="C91" s="247">
        <v>4000000000</v>
      </c>
      <c r="D91" s="242">
        <v>31818833.986001432</v>
      </c>
      <c r="E91" s="242" t="str">
        <f t="shared" si="1"/>
        <v>Hasta COP 20.000.000.000600000004000000000</v>
      </c>
    </row>
    <row r="92" spans="1:14">
      <c r="A92" s="251" t="s">
        <v>16</v>
      </c>
      <c r="B92" s="242">
        <v>60000000</v>
      </c>
      <c r="C92" s="247">
        <v>5000000000</v>
      </c>
      <c r="D92" s="242">
        <v>39448974.963384002</v>
      </c>
      <c r="E92" s="242" t="str">
        <f t="shared" si="1"/>
        <v>Hasta COP 20.000.000.000600000005000000000</v>
      </c>
    </row>
  </sheetData>
  <pageMargins left="0.7" right="0.7" top="0.75" bottom="0.75" header="0.3" footer="0.3"/>
  <headerFooter>
    <oddFooter>&amp;L_x000D_&amp;1#&amp;"Aptos"&amp;10&amp;K000000 INTERNAL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C0B00-0067-4FA4-9848-3BCCDA257A6F}">
  <sheetPr codeName="Hoja8"/>
  <dimension ref="A2:AD221"/>
  <sheetViews>
    <sheetView zoomScale="59" workbookViewId="0">
      <selection activeCell="N14" sqref="N14"/>
    </sheetView>
  </sheetViews>
  <sheetFormatPr defaultColWidth="0" defaultRowHeight="16.899999999999999" customHeight="1"/>
  <cols>
    <col min="1" max="1" width="11.7109375" bestFit="1" customWidth="1"/>
    <col min="2" max="2" width="18.42578125" customWidth="1"/>
    <col min="3" max="3" width="21.7109375" customWidth="1"/>
    <col min="4" max="4" width="43.7109375" customWidth="1"/>
    <col min="5" max="5" width="68.7109375" customWidth="1"/>
    <col min="6" max="6" width="16.7109375" customWidth="1"/>
    <col min="7" max="7" width="18.7109375" customWidth="1"/>
    <col min="8" max="9" width="11.42578125" customWidth="1"/>
    <col min="10" max="12" width="12.5703125" bestFit="1" customWidth="1"/>
    <col min="13" max="13" width="11.28515625" bestFit="1" customWidth="1"/>
    <col min="14" max="14" width="42.7109375" bestFit="1" customWidth="1"/>
    <col min="15" max="15" width="10.28515625" hidden="1" customWidth="1"/>
    <col min="16" max="16" width="30.28515625" hidden="1" customWidth="1"/>
    <col min="17" max="17" width="16" hidden="1" customWidth="1"/>
    <col min="18" max="20" width="12.7109375" hidden="1" customWidth="1"/>
    <col min="21" max="21" width="14.7109375" hidden="1" customWidth="1"/>
    <col min="22" max="22" width="17.7109375" hidden="1" customWidth="1"/>
    <col min="23" max="23" width="26.7109375" hidden="1" customWidth="1"/>
    <col min="24" max="25" width="11.42578125" hidden="1" customWidth="1"/>
    <col min="26" max="26" width="14.42578125" hidden="1" customWidth="1"/>
    <col min="27" max="30" width="12.7109375" hidden="1" customWidth="1"/>
    <col min="31" max="16384" width="11.42578125" hidden="1"/>
  </cols>
  <sheetData>
    <row r="2" spans="1:30" ht="16.899999999999999" customHeight="1" thickBot="1">
      <c r="A2" s="21"/>
      <c r="C2" s="22"/>
      <c r="I2">
        <v>1.0022112E-2</v>
      </c>
      <c r="J2">
        <v>8.3814333013124999E-3</v>
      </c>
      <c r="K2">
        <v>8.2538780729166667E-3</v>
      </c>
      <c r="L2">
        <v>7.0733882812499997E-3</v>
      </c>
      <c r="M2">
        <v>7.04864671875E-3</v>
      </c>
      <c r="P2">
        <v>1.113568E-2</v>
      </c>
      <c r="Q2">
        <v>1.2104E-2</v>
      </c>
      <c r="R2">
        <v>1.3599999999999999E-2</v>
      </c>
      <c r="T2" t="s">
        <v>137</v>
      </c>
      <c r="Z2" s="152"/>
      <c r="AA2" s="152"/>
      <c r="AB2" s="152"/>
      <c r="AC2" s="152"/>
      <c r="AD2" s="152"/>
    </row>
    <row r="3" spans="1:30" ht="16.899999999999999" customHeight="1">
      <c r="A3" s="21"/>
      <c r="B3" s="283" t="s">
        <v>138</v>
      </c>
      <c r="C3" s="284"/>
      <c r="D3" s="284"/>
      <c r="E3" s="284"/>
      <c r="F3" s="284"/>
      <c r="G3" s="285"/>
      <c r="I3">
        <v>1.3599999999999999E-2</v>
      </c>
      <c r="J3">
        <v>1.26551997E-2</v>
      </c>
      <c r="K3">
        <v>1.1150749999999999E-2</v>
      </c>
      <c r="L3">
        <v>1.1030625E-2</v>
      </c>
      <c r="M3">
        <v>1.03276875E-2</v>
      </c>
      <c r="T3" t="s">
        <v>109</v>
      </c>
      <c r="V3" s="121" t="s">
        <v>61</v>
      </c>
      <c r="W3" s="122" t="s">
        <v>11</v>
      </c>
      <c r="Z3" s="21" t="s">
        <v>139</v>
      </c>
      <c r="AA3" s="21" t="s">
        <v>85</v>
      </c>
      <c r="AB3" s="21" t="s">
        <v>140</v>
      </c>
      <c r="AC3" s="21" t="s">
        <v>86</v>
      </c>
      <c r="AD3" s="21" t="s">
        <v>141</v>
      </c>
    </row>
    <row r="4" spans="1:30" ht="16.899999999999999" customHeight="1" thickBot="1">
      <c r="A4" s="21"/>
      <c r="B4" s="286"/>
      <c r="C4" s="287"/>
      <c r="D4" s="287"/>
      <c r="E4" s="287"/>
      <c r="F4" s="287"/>
      <c r="G4" s="288"/>
      <c r="T4" t="s">
        <v>99</v>
      </c>
      <c r="V4" s="127" t="s">
        <v>139</v>
      </c>
      <c r="W4" s="128" t="s">
        <v>142</v>
      </c>
      <c r="Z4" s="154" t="s">
        <v>139</v>
      </c>
      <c r="AA4" s="154" t="s">
        <v>85</v>
      </c>
      <c r="AB4" s="154" t="s">
        <v>140</v>
      </c>
      <c r="AC4" s="154" t="s">
        <v>59</v>
      </c>
      <c r="AD4" s="154" t="s">
        <v>59</v>
      </c>
    </row>
    <row r="5" spans="1:30" ht="16.899999999999999" customHeight="1" thickBot="1">
      <c r="A5" s="21"/>
      <c r="B5" s="23" t="s">
        <v>56</v>
      </c>
      <c r="C5" s="24">
        <v>13.6</v>
      </c>
      <c r="D5" s="25">
        <v>14.817</v>
      </c>
      <c r="E5" s="26">
        <v>14.1</v>
      </c>
      <c r="F5" s="27">
        <v>13.5</v>
      </c>
      <c r="G5" s="28">
        <v>11.15</v>
      </c>
      <c r="I5" s="289" t="s">
        <v>143</v>
      </c>
      <c r="J5" s="290"/>
      <c r="K5" s="290"/>
      <c r="L5" s="290"/>
      <c r="M5" s="291"/>
      <c r="V5" s="64" t="s">
        <v>85</v>
      </c>
      <c r="W5" s="128" t="s">
        <v>144</v>
      </c>
      <c r="Z5" s="154" t="s">
        <v>85</v>
      </c>
      <c r="AA5" s="154" t="s">
        <v>86</v>
      </c>
      <c r="AB5" s="154" t="s">
        <v>141</v>
      </c>
      <c r="AC5" s="154"/>
      <c r="AD5" s="154"/>
    </row>
    <row r="6" spans="1:30" ht="16.899999999999999" customHeight="1" thickBot="1">
      <c r="A6" s="36"/>
      <c r="B6" s="4"/>
      <c r="C6" s="292" t="s">
        <v>57</v>
      </c>
      <c r="D6" s="293"/>
      <c r="E6" s="293"/>
      <c r="F6" s="293"/>
      <c r="G6" s="294"/>
      <c r="V6" s="64" t="s">
        <v>140</v>
      </c>
      <c r="W6" s="128" t="s">
        <v>145</v>
      </c>
      <c r="Z6" s="21"/>
      <c r="AA6" s="21"/>
      <c r="AB6" s="21"/>
      <c r="AC6" s="21"/>
      <c r="AD6" s="21"/>
    </row>
    <row r="7" spans="1:30" ht="29.45" customHeight="1" thickBot="1">
      <c r="A7" s="280" t="s">
        <v>137</v>
      </c>
      <c r="B7" s="38" t="s">
        <v>58</v>
      </c>
      <c r="C7" s="17">
        <v>500000000</v>
      </c>
      <c r="D7" s="17">
        <v>1000000000</v>
      </c>
      <c r="E7" s="17">
        <v>1500000000</v>
      </c>
      <c r="F7" s="17">
        <v>2000000000</v>
      </c>
      <c r="G7" s="19">
        <v>3000000000</v>
      </c>
      <c r="I7" s="280" t="s">
        <v>137</v>
      </c>
      <c r="J7" s="38" t="s">
        <v>58</v>
      </c>
      <c r="K7" s="17">
        <v>1000000000</v>
      </c>
      <c r="L7" s="17">
        <v>2000000000</v>
      </c>
      <c r="M7" s="19">
        <v>3000000000</v>
      </c>
      <c r="V7" s="64" t="s">
        <v>86</v>
      </c>
      <c r="W7" s="128" t="s">
        <v>146</v>
      </c>
      <c r="Z7" s="21"/>
      <c r="AA7" s="21"/>
      <c r="AB7" s="21"/>
      <c r="AC7" s="21"/>
      <c r="AD7" s="21"/>
    </row>
    <row r="8" spans="1:30" ht="16.899999999999999" customHeight="1" thickBot="1">
      <c r="A8" s="281"/>
      <c r="B8" s="39">
        <v>15000000000</v>
      </c>
      <c r="C8" s="185">
        <v>5011056</v>
      </c>
      <c r="D8" s="185">
        <v>8381433.3013124997</v>
      </c>
      <c r="E8" s="185">
        <v>12380817.109375</v>
      </c>
      <c r="F8" s="185">
        <v>14146776.5625</v>
      </c>
      <c r="G8" s="186">
        <v>21145940.15625</v>
      </c>
      <c r="I8" s="281"/>
      <c r="J8" s="39">
        <v>15000000000</v>
      </c>
      <c r="K8" s="185">
        <v>6514372.7999999998</v>
      </c>
      <c r="L8" s="185">
        <v>11314934.956771875</v>
      </c>
      <c r="M8" s="186">
        <v>17333143.953125</v>
      </c>
      <c r="V8" s="134" t="s">
        <v>141</v>
      </c>
      <c r="W8" s="135" t="s">
        <v>147</v>
      </c>
      <c r="Z8" s="21"/>
      <c r="AA8" s="21"/>
      <c r="AB8" s="21"/>
      <c r="AC8" s="21"/>
      <c r="AD8" s="21"/>
    </row>
    <row r="9" spans="1:30" ht="16.899999999999999" customHeight="1" thickBot="1">
      <c r="A9" s="281"/>
      <c r="B9" s="39">
        <v>30000000000</v>
      </c>
      <c r="C9" s="185">
        <v>5567840</v>
      </c>
      <c r="D9" s="185">
        <v>9860509.7662499994</v>
      </c>
      <c r="E9" s="185">
        <v>14565667.1875</v>
      </c>
      <c r="F9" s="185">
        <v>18862368.75</v>
      </c>
      <c r="G9" s="186">
        <v>28194586.875</v>
      </c>
      <c r="I9" s="281"/>
      <c r="J9" s="39">
        <v>30000000000</v>
      </c>
      <c r="K9" s="185">
        <v>7238192</v>
      </c>
      <c r="L9" s="185">
        <v>13311688.1844375</v>
      </c>
      <c r="M9" s="186">
        <v>20391934.0625</v>
      </c>
      <c r="Z9" s="21"/>
      <c r="AA9" s="21"/>
      <c r="AB9" s="21"/>
      <c r="AC9" s="21"/>
      <c r="AD9" s="21"/>
    </row>
    <row r="10" spans="1:30" ht="16.899999999999999" customHeight="1" thickBot="1">
      <c r="A10" s="281"/>
      <c r="B10" s="39">
        <v>45000000000</v>
      </c>
      <c r="C10" s="185">
        <v>6052000</v>
      </c>
      <c r="D10" s="185">
        <v>11600599.725</v>
      </c>
      <c r="E10" s="185">
        <v>15332281.25</v>
      </c>
      <c r="F10" s="185">
        <v>19855125</v>
      </c>
      <c r="G10" s="186">
        <v>28917525</v>
      </c>
      <c r="I10" s="281"/>
      <c r="J10" s="39">
        <v>45000000000</v>
      </c>
      <c r="K10" s="185">
        <v>7867600</v>
      </c>
      <c r="L10" s="185">
        <v>15660809.62875</v>
      </c>
      <c r="M10" s="186">
        <v>21465193.75</v>
      </c>
      <c r="Z10" s="21">
        <v>500000000</v>
      </c>
      <c r="AA10" s="21" t="s">
        <v>148</v>
      </c>
      <c r="AB10" s="21"/>
      <c r="AC10" s="21"/>
      <c r="AD10" s="21"/>
    </row>
    <row r="11" spans="1:30" ht="16.899999999999999" customHeight="1" thickBot="1">
      <c r="A11" s="281"/>
      <c r="B11" s="39">
        <v>60000000000</v>
      </c>
      <c r="C11" s="187">
        <v>6800000</v>
      </c>
      <c r="D11" s="185">
        <v>12655199.699999999</v>
      </c>
      <c r="E11" s="185">
        <v>16726125</v>
      </c>
      <c r="F11" s="185">
        <v>22061250</v>
      </c>
      <c r="G11" s="186">
        <v>30983062.5</v>
      </c>
      <c r="I11" s="281"/>
      <c r="J11" s="39">
        <v>60000000000</v>
      </c>
      <c r="K11" s="185">
        <v>8840000</v>
      </c>
      <c r="L11" s="185">
        <v>17084519.594999999</v>
      </c>
      <c r="M11" s="186">
        <v>23416575</v>
      </c>
      <c r="Z11" s="21"/>
      <c r="AA11" s="21"/>
      <c r="AB11" s="21"/>
      <c r="AC11" s="21"/>
      <c r="AD11" s="21"/>
    </row>
    <row r="12" spans="1:30" ht="16.899999999999999" customHeight="1" thickBot="1">
      <c r="A12" s="281"/>
      <c r="B12" s="39">
        <v>80000000000</v>
      </c>
      <c r="C12" s="46" t="s">
        <v>59</v>
      </c>
      <c r="D12" s="185">
        <v>13001917.5</v>
      </c>
      <c r="E12" s="185">
        <v>19299375</v>
      </c>
      <c r="F12" s="185">
        <v>24975000</v>
      </c>
      <c r="G12" s="186">
        <v>32613750</v>
      </c>
      <c r="I12" s="281"/>
      <c r="J12" s="39">
        <v>80000000000</v>
      </c>
      <c r="K12" s="185" t="s">
        <v>59</v>
      </c>
      <c r="L12" s="185">
        <v>17552588.625</v>
      </c>
      <c r="M12" s="186">
        <v>27019125</v>
      </c>
      <c r="AA12" s="21"/>
    </row>
    <row r="13" spans="1:30" ht="16.899999999999999" customHeight="1" thickBot="1">
      <c r="A13" s="282"/>
      <c r="B13" s="188">
        <v>100000000000</v>
      </c>
      <c r="C13" s="47" t="s">
        <v>59</v>
      </c>
      <c r="D13" s="187">
        <v>14817000</v>
      </c>
      <c r="E13" s="187">
        <v>21150000</v>
      </c>
      <c r="F13" s="187">
        <v>27000000</v>
      </c>
      <c r="G13" s="189">
        <v>33450000</v>
      </c>
      <c r="I13" s="282"/>
      <c r="J13" s="188">
        <v>100000000000</v>
      </c>
      <c r="K13" s="185" t="s">
        <v>59</v>
      </c>
      <c r="L13" s="185">
        <v>20002950</v>
      </c>
      <c r="M13" s="186">
        <v>29609999.999999996</v>
      </c>
      <c r="AA13" s="21"/>
    </row>
    <row r="14" spans="1:30" ht="16.899999999999999" customHeight="1">
      <c r="A14" s="21"/>
      <c r="B14" s="190"/>
      <c r="AA14" s="21"/>
    </row>
    <row r="15" spans="1:30" s="4" customFormat="1" ht="16.899999999999999" customHeight="1">
      <c r="AA15" s="36"/>
    </row>
    <row r="16" spans="1:30" ht="16.899999999999999" customHeight="1" thickBot="1">
      <c r="C16" s="52"/>
      <c r="D16" s="52"/>
      <c r="E16" s="52"/>
      <c r="F16" s="52"/>
      <c r="G16" s="52"/>
    </row>
    <row r="17" spans="1:22" ht="16.899999999999999" customHeight="1" thickBot="1">
      <c r="A17" s="280" t="s">
        <v>109</v>
      </c>
      <c r="B17" s="38" t="s">
        <v>58</v>
      </c>
      <c r="C17" s="17">
        <v>500000000</v>
      </c>
      <c r="D17" s="17">
        <v>1000000000</v>
      </c>
      <c r="E17" s="17">
        <v>1500000000</v>
      </c>
      <c r="F17" s="17">
        <v>2000000000</v>
      </c>
      <c r="G17" s="19">
        <v>3000000000</v>
      </c>
      <c r="I17" s="280" t="s">
        <v>109</v>
      </c>
      <c r="J17" s="38" t="s">
        <v>58</v>
      </c>
      <c r="K17" s="17">
        <v>1000000000</v>
      </c>
      <c r="L17" s="17">
        <v>2000000000</v>
      </c>
      <c r="M17" s="19">
        <v>3000000000</v>
      </c>
    </row>
    <row r="18" spans="1:22" ht="16.899999999999999" customHeight="1" thickBot="1">
      <c r="A18" s="281"/>
      <c r="B18" s="39">
        <v>15000000000</v>
      </c>
      <c r="C18" s="40">
        <v>5411940.4800000004</v>
      </c>
      <c r="D18" s="40">
        <v>9093855.1319240611</v>
      </c>
      <c r="E18" s="40">
        <v>13495090.649218751</v>
      </c>
      <c r="F18" s="40">
        <v>15561454.218750002</v>
      </c>
      <c r="G18" s="45">
        <v>23471993.573437501</v>
      </c>
      <c r="I18" s="281"/>
      <c r="J18" s="39">
        <v>15000000000</v>
      </c>
      <c r="K18" s="185">
        <v>7035522.6240000008</v>
      </c>
      <c r="L18" s="185">
        <v>12276704.428097483</v>
      </c>
      <c r="M18" s="186">
        <v>18893126.908906251</v>
      </c>
      <c r="P18" s="277" t="s">
        <v>60</v>
      </c>
      <c r="Q18" s="278"/>
      <c r="R18" s="278"/>
      <c r="S18" s="278"/>
      <c r="T18" s="278"/>
      <c r="U18" s="278"/>
      <c r="V18" s="279"/>
    </row>
    <row r="19" spans="1:22" ht="16.899999999999999" customHeight="1" thickBot="1">
      <c r="A19" s="281"/>
      <c r="B19" s="39">
        <v>30000000000</v>
      </c>
      <c r="C19" s="40">
        <v>6013267.2000000002</v>
      </c>
      <c r="D19" s="40">
        <v>10698653.096381249</v>
      </c>
      <c r="E19" s="40">
        <v>15876577.234375002</v>
      </c>
      <c r="F19" s="40">
        <v>20748605.625</v>
      </c>
      <c r="G19" s="45">
        <v>31295991.431250002</v>
      </c>
      <c r="I19" s="281"/>
      <c r="J19" s="39">
        <v>30000000000</v>
      </c>
      <c r="K19" s="185">
        <v>7817247.3600000003</v>
      </c>
      <c r="L19" s="185">
        <v>14443181.680114686</v>
      </c>
      <c r="M19" s="186">
        <v>22227208.128125001</v>
      </c>
      <c r="P19" s="53"/>
      <c r="Q19" s="54" t="s">
        <v>61</v>
      </c>
      <c r="R19" s="55" t="s">
        <v>11</v>
      </c>
      <c r="S19" s="54" t="s">
        <v>62</v>
      </c>
      <c r="T19" s="56" t="s">
        <v>63</v>
      </c>
      <c r="U19" s="57" t="s">
        <v>64</v>
      </c>
      <c r="V19" s="57" t="s">
        <v>65</v>
      </c>
    </row>
    <row r="20" spans="1:22" ht="16.899999999999999" customHeight="1" thickBot="1">
      <c r="A20" s="281"/>
      <c r="B20" s="39">
        <v>45000000000</v>
      </c>
      <c r="C20" s="40">
        <v>6536160</v>
      </c>
      <c r="D20" s="40">
        <v>12586650.701624999</v>
      </c>
      <c r="E20" s="40">
        <v>16712186.562500002</v>
      </c>
      <c r="F20" s="40">
        <v>21840637.5</v>
      </c>
      <c r="G20" s="45">
        <v>32098452.750000004</v>
      </c>
      <c r="I20" s="281"/>
      <c r="J20" s="39">
        <v>45000000000</v>
      </c>
      <c r="K20" s="185">
        <v>8497008</v>
      </c>
      <c r="L20" s="185">
        <v>16991978.447193749</v>
      </c>
      <c r="M20" s="186">
        <v>23397061.1875</v>
      </c>
      <c r="P20" s="58" t="s">
        <v>66</v>
      </c>
      <c r="Q20" s="59">
        <v>500000000</v>
      </c>
      <c r="R20" s="59"/>
      <c r="S20" s="59"/>
      <c r="T20" s="60">
        <v>0</v>
      </c>
      <c r="U20" s="61"/>
      <c r="V20" s="62">
        <v>0</v>
      </c>
    </row>
    <row r="21" spans="1:22" ht="16.899999999999999" customHeight="1" thickBot="1">
      <c r="A21" s="281"/>
      <c r="B21" s="39">
        <v>60000000000</v>
      </c>
      <c r="C21" s="40">
        <v>7344000.0000000009</v>
      </c>
      <c r="D21" s="40">
        <v>13730891.674499998</v>
      </c>
      <c r="E21" s="40">
        <v>18231476.25</v>
      </c>
      <c r="F21" s="40">
        <v>24267375.000000004</v>
      </c>
      <c r="G21" s="45">
        <v>34391199.375</v>
      </c>
      <c r="I21" s="281"/>
      <c r="J21" s="39">
        <v>60000000000</v>
      </c>
      <c r="K21" s="185">
        <v>9547200.0000000019</v>
      </c>
      <c r="L21" s="185">
        <v>18536703.760575</v>
      </c>
      <c r="M21" s="186">
        <v>25524066.75</v>
      </c>
      <c r="P21" s="58" t="s">
        <v>67</v>
      </c>
      <c r="Q21" s="59">
        <v>1000000000</v>
      </c>
      <c r="R21" s="63"/>
      <c r="S21" s="64">
        <v>14817000</v>
      </c>
      <c r="T21" s="65">
        <v>14817</v>
      </c>
      <c r="U21" s="66">
        <v>61831341000</v>
      </c>
      <c r="V21" s="67">
        <v>61831340999999.992</v>
      </c>
    </row>
    <row r="22" spans="1:22" ht="16.899999999999999" customHeight="1" thickBot="1">
      <c r="A22" s="281"/>
      <c r="B22" s="39">
        <v>80000000000</v>
      </c>
      <c r="C22" s="46" t="s">
        <v>59</v>
      </c>
      <c r="D22" s="40">
        <v>14107080.487499999</v>
      </c>
      <c r="E22" s="40">
        <v>21036318.75</v>
      </c>
      <c r="F22" s="40">
        <v>27472500.000000004</v>
      </c>
      <c r="G22" s="45">
        <v>36201262.5</v>
      </c>
      <c r="I22" s="281"/>
      <c r="J22" s="39">
        <v>80000000000</v>
      </c>
      <c r="K22" s="185" t="s">
        <v>59</v>
      </c>
      <c r="L22" s="185">
        <v>19044558.658124998</v>
      </c>
      <c r="M22" s="186">
        <v>29450846.249999996</v>
      </c>
      <c r="P22" s="58" t="s">
        <v>68</v>
      </c>
      <c r="Q22" s="59">
        <v>1500000000</v>
      </c>
      <c r="R22" s="63"/>
      <c r="S22" s="64">
        <v>21150000</v>
      </c>
      <c r="T22" s="65">
        <v>14100</v>
      </c>
      <c r="U22" s="66"/>
      <c r="V22" s="67">
        <v>0</v>
      </c>
    </row>
    <row r="23" spans="1:22" ht="16.899999999999999" customHeight="1" thickBot="1">
      <c r="A23" s="282"/>
      <c r="B23" s="188">
        <v>100000000000</v>
      </c>
      <c r="C23" s="47" t="s">
        <v>59</v>
      </c>
      <c r="D23" s="44">
        <v>16076445</v>
      </c>
      <c r="E23" s="44">
        <v>23053500</v>
      </c>
      <c r="F23" s="44">
        <v>29700000.000000004</v>
      </c>
      <c r="G23" s="191">
        <v>37129500</v>
      </c>
      <c r="I23" s="282"/>
      <c r="J23" s="188">
        <v>100000000000</v>
      </c>
      <c r="K23" s="185" t="s">
        <v>59</v>
      </c>
      <c r="L23" s="185">
        <v>21703200.75</v>
      </c>
      <c r="M23" s="186">
        <v>32274899.999999996</v>
      </c>
      <c r="P23" s="68" t="s">
        <v>69</v>
      </c>
      <c r="Q23" s="59">
        <v>2000000000</v>
      </c>
      <c r="R23" s="59"/>
      <c r="S23" s="59">
        <v>27000000</v>
      </c>
      <c r="T23" s="65">
        <v>13500</v>
      </c>
      <c r="U23" s="66"/>
      <c r="V23" s="67">
        <v>0</v>
      </c>
    </row>
    <row r="24" spans="1:22" ht="16.899999999999999" customHeight="1" thickBot="1">
      <c r="P24" s="68" t="s">
        <v>70</v>
      </c>
      <c r="Q24" s="69">
        <v>3000000000</v>
      </c>
      <c r="R24" s="69"/>
      <c r="S24" s="69">
        <v>33450000</v>
      </c>
      <c r="T24" s="70">
        <v>11150</v>
      </c>
      <c r="U24" s="71"/>
      <c r="V24" s="72">
        <v>0</v>
      </c>
    </row>
    <row r="25" spans="1:22" ht="16.899999999999999" customHeight="1" thickBot="1"/>
    <row r="26" spans="1:22" ht="16.899999999999999" customHeight="1" thickBot="1">
      <c r="A26" s="280" t="s">
        <v>99</v>
      </c>
      <c r="B26" s="38" t="s">
        <v>58</v>
      </c>
      <c r="C26" s="17">
        <v>500000000</v>
      </c>
      <c r="D26" s="17">
        <v>1000000000</v>
      </c>
      <c r="E26" s="17">
        <v>1500000000</v>
      </c>
      <c r="F26" s="17">
        <v>2000000000</v>
      </c>
      <c r="G26" s="19">
        <v>3000000000</v>
      </c>
      <c r="I26" s="280" t="s">
        <v>99</v>
      </c>
      <c r="J26" s="38" t="s">
        <v>58</v>
      </c>
      <c r="K26" s="17">
        <v>1000000000</v>
      </c>
      <c r="L26" s="17">
        <v>2000000000</v>
      </c>
      <c r="M26" s="19">
        <v>3000000000</v>
      </c>
    </row>
    <row r="27" spans="1:22" ht="16.899999999999999" customHeight="1" thickBot="1">
      <c r="A27" s="281"/>
      <c r="B27" s="39">
        <v>15000000000</v>
      </c>
      <c r="C27" s="40">
        <v>5682537.5040000007</v>
      </c>
      <c r="D27" s="40">
        <v>9821363.5424779858</v>
      </c>
      <c r="E27" s="40">
        <v>14844599.714140628</v>
      </c>
      <c r="F27" s="40">
        <v>17273214.182812504</v>
      </c>
      <c r="G27" s="45">
        <v>26288632.802250002</v>
      </c>
      <c r="I27" s="281"/>
      <c r="J27" s="39">
        <v>15000000000</v>
      </c>
      <c r="K27" s="185">
        <v>7387298.7552000014</v>
      </c>
      <c r="L27" s="185">
        <v>13258840.782345282</v>
      </c>
      <c r="M27" s="186">
        <v>20782439.599796876</v>
      </c>
    </row>
    <row r="28" spans="1:22" ht="16.899999999999999" customHeight="1" thickBot="1">
      <c r="A28" s="281"/>
      <c r="B28" s="39">
        <v>30000000000</v>
      </c>
      <c r="C28" s="40">
        <v>6313930.5600000005</v>
      </c>
      <c r="D28" s="40">
        <v>11554545.344091749</v>
      </c>
      <c r="E28" s="40">
        <v>17464234.957812503</v>
      </c>
      <c r="F28" s="40">
        <v>23030952.243750002</v>
      </c>
      <c r="G28" s="45">
        <v>35051510.403000005</v>
      </c>
      <c r="I28" s="281"/>
      <c r="J28" s="39">
        <v>30000000000</v>
      </c>
      <c r="K28" s="185">
        <v>8208109.7280000011</v>
      </c>
      <c r="L28" s="185">
        <v>15598636.214523861</v>
      </c>
      <c r="M28" s="186">
        <v>24449928.940937504</v>
      </c>
    </row>
    <row r="29" spans="1:22" ht="16.899999999999999" customHeight="1" thickBot="1">
      <c r="A29" s="281"/>
      <c r="B29" s="39">
        <v>45000000000</v>
      </c>
      <c r="C29" s="40">
        <v>6862968</v>
      </c>
      <c r="D29" s="40">
        <v>13593582.757755</v>
      </c>
      <c r="E29" s="40">
        <v>18383405.218750004</v>
      </c>
      <c r="F29" s="40">
        <v>24243107.625000004</v>
      </c>
      <c r="G29" s="45">
        <v>35950267.080000006</v>
      </c>
      <c r="I29" s="281"/>
      <c r="J29" s="39">
        <v>45000000000</v>
      </c>
      <c r="K29" s="185">
        <v>8921858.4000000004</v>
      </c>
      <c r="L29" s="185">
        <v>18351336.722969253</v>
      </c>
      <c r="M29" s="186">
        <v>25736767.306250002</v>
      </c>
    </row>
    <row r="30" spans="1:22" ht="16.899999999999999" customHeight="1" thickBot="1">
      <c r="A30" s="281"/>
      <c r="B30" s="39">
        <v>60000000000</v>
      </c>
      <c r="C30" s="40">
        <v>7711200.0000000009</v>
      </c>
      <c r="D30" s="40">
        <v>14829363.008459998</v>
      </c>
      <c r="E30" s="40">
        <v>20054623.875</v>
      </c>
      <c r="F30" s="40">
        <v>26936786.250000007</v>
      </c>
      <c r="G30" s="45">
        <v>38518143.300000004</v>
      </c>
      <c r="I30" s="281"/>
      <c r="J30" s="39">
        <v>60000000000</v>
      </c>
      <c r="K30" s="185">
        <v>10024560.000000002</v>
      </c>
      <c r="L30" s="185">
        <v>20019640.061420999</v>
      </c>
      <c r="M30" s="186">
        <v>28076473.424999997</v>
      </c>
    </row>
    <row r="31" spans="1:22" ht="16.899999999999999" customHeight="1" thickBot="1">
      <c r="A31" s="281"/>
      <c r="B31" s="39">
        <v>80000000000</v>
      </c>
      <c r="C31" s="46" t="s">
        <v>59</v>
      </c>
      <c r="D31" s="40">
        <v>15235646.9265</v>
      </c>
      <c r="E31" s="40">
        <v>23139950.625000004</v>
      </c>
      <c r="F31" s="40">
        <v>30494475.000000007</v>
      </c>
      <c r="G31" s="45">
        <v>40545414.000000007</v>
      </c>
      <c r="I31" s="281"/>
      <c r="J31" s="39">
        <v>80000000000</v>
      </c>
      <c r="K31" s="185" t="s">
        <v>59</v>
      </c>
      <c r="L31" s="185">
        <v>20568123.350775</v>
      </c>
      <c r="M31" s="186">
        <v>32395930.875000004</v>
      </c>
    </row>
    <row r="32" spans="1:22" ht="16.899999999999999" customHeight="1" thickBot="1">
      <c r="A32" s="282"/>
      <c r="B32" s="188">
        <v>100000000000</v>
      </c>
      <c r="C32" s="47" t="s">
        <v>59</v>
      </c>
      <c r="D32" s="40">
        <v>17362560.600000001</v>
      </c>
      <c r="E32" s="40">
        <v>25358850.000000004</v>
      </c>
      <c r="F32" s="40">
        <v>32967000.000000007</v>
      </c>
      <c r="G32" s="45">
        <v>41585040.000000007</v>
      </c>
      <c r="I32" s="282"/>
      <c r="J32" s="188">
        <v>100000000000</v>
      </c>
      <c r="K32" s="185" t="s">
        <v>59</v>
      </c>
      <c r="L32" s="185">
        <v>23439456.810000002</v>
      </c>
      <c r="M32" s="186">
        <v>35502390</v>
      </c>
    </row>
    <row r="34" spans="1:21" ht="16.899999999999999" customHeight="1">
      <c r="Q34" s="154"/>
      <c r="R34" s="154"/>
      <c r="S34" s="154"/>
      <c r="T34" s="154"/>
      <c r="U34" s="154"/>
    </row>
    <row r="35" spans="1:21" ht="16.899999999999999" customHeight="1">
      <c r="Q35" s="154"/>
      <c r="R35" s="154"/>
      <c r="S35" s="154"/>
      <c r="T35" s="154"/>
      <c r="U35" s="154"/>
    </row>
    <row r="36" spans="1:21" ht="16.899999999999999" customHeight="1">
      <c r="Q36" s="154"/>
      <c r="R36" s="154"/>
      <c r="S36" s="154"/>
      <c r="T36" s="154"/>
      <c r="U36" s="154"/>
    </row>
    <row r="37" spans="1:21" ht="16.899999999999999" customHeight="1">
      <c r="Q37" s="154"/>
      <c r="R37" s="154"/>
      <c r="S37" s="154"/>
      <c r="T37" s="154"/>
      <c r="U37" s="154"/>
    </row>
    <row r="38" spans="1:21" ht="16.899999999999999" customHeight="1">
      <c r="P38">
        <v>60000000000</v>
      </c>
      <c r="Q38" s="154">
        <v>10024560.000000002</v>
      </c>
      <c r="R38" s="154">
        <v>20019640.061420999</v>
      </c>
      <c r="S38" s="154">
        <v>28076473.424999997</v>
      </c>
      <c r="T38" s="154"/>
      <c r="U38" s="154"/>
    </row>
    <row r="39" spans="1:21" ht="16.899999999999999" customHeight="1">
      <c r="P39">
        <v>80000000000</v>
      </c>
      <c r="Q39" s="154" t="s">
        <v>59</v>
      </c>
      <c r="R39" s="154">
        <v>20568123.350775</v>
      </c>
      <c r="S39" s="154">
        <v>32395930.875000004</v>
      </c>
      <c r="T39" s="154"/>
      <c r="U39" s="154"/>
    </row>
    <row r="40" spans="1:21" ht="16.899999999999999" customHeight="1">
      <c r="P40">
        <v>100000000000</v>
      </c>
      <c r="Q40" s="154" t="s">
        <v>59</v>
      </c>
      <c r="R40" s="154">
        <v>23439456.810000002</v>
      </c>
      <c r="S40" s="154">
        <v>35502390</v>
      </c>
      <c r="T40" s="154"/>
      <c r="U40" s="154"/>
    </row>
    <row r="41" spans="1:21" ht="16.899999999999999" customHeight="1">
      <c r="A41" s="192" t="s">
        <v>107</v>
      </c>
      <c r="B41" s="192" t="s">
        <v>149</v>
      </c>
      <c r="C41" s="192" t="s">
        <v>150</v>
      </c>
      <c r="D41" s="192" t="s">
        <v>151</v>
      </c>
      <c r="E41" s="192" t="s">
        <v>152</v>
      </c>
      <c r="F41" s="192" t="s">
        <v>65</v>
      </c>
      <c r="K41" s="193" t="s">
        <v>107</v>
      </c>
      <c r="L41" s="193" t="s">
        <v>149</v>
      </c>
      <c r="M41" s="193" t="s">
        <v>150</v>
      </c>
      <c r="N41" s="193" t="s">
        <v>151</v>
      </c>
      <c r="O41" s="193" t="s">
        <v>152</v>
      </c>
      <c r="P41" s="193" t="s">
        <v>65</v>
      </c>
    </row>
    <row r="42" spans="1:21" ht="16.899999999999999" customHeight="1">
      <c r="A42" s="194" t="s">
        <v>137</v>
      </c>
      <c r="B42" s="195">
        <v>15000000000</v>
      </c>
      <c r="C42" s="196" t="s">
        <v>139</v>
      </c>
      <c r="D42" s="196" t="s">
        <v>139</v>
      </c>
      <c r="E42" s="194" t="s">
        <v>322</v>
      </c>
      <c r="F42" s="131">
        <v>5011056</v>
      </c>
      <c r="K42" s="194" t="s">
        <v>137</v>
      </c>
      <c r="L42" s="195">
        <v>15000000000</v>
      </c>
      <c r="M42" s="196" t="s">
        <v>139</v>
      </c>
      <c r="N42" s="196" t="s">
        <v>85</v>
      </c>
      <c r="O42" s="194" t="s">
        <v>153</v>
      </c>
      <c r="P42" s="154">
        <v>6514372.7999999998</v>
      </c>
    </row>
    <row r="43" spans="1:21" ht="16.899999999999999" customHeight="1">
      <c r="A43" s="194" t="s">
        <v>137</v>
      </c>
      <c r="B43" s="195">
        <v>15000000000</v>
      </c>
      <c r="C43" s="196" t="s">
        <v>85</v>
      </c>
      <c r="D43" s="196" t="s">
        <v>85</v>
      </c>
      <c r="E43" s="194" t="s">
        <v>323</v>
      </c>
      <c r="F43" s="131">
        <v>8381433.3013124997</v>
      </c>
      <c r="K43" s="194" t="s">
        <v>137</v>
      </c>
      <c r="L43" s="195">
        <v>15000000000</v>
      </c>
      <c r="M43" s="196" t="s">
        <v>85</v>
      </c>
      <c r="N43" s="196" t="s">
        <v>86</v>
      </c>
      <c r="O43" s="194" t="s">
        <v>154</v>
      </c>
      <c r="P43" s="154">
        <v>11314934.956771875</v>
      </c>
    </row>
    <row r="44" spans="1:21" ht="16.899999999999999" customHeight="1">
      <c r="A44" s="194" t="s">
        <v>137</v>
      </c>
      <c r="B44" s="195">
        <v>15000000000</v>
      </c>
      <c r="C44" s="196" t="s">
        <v>140</v>
      </c>
      <c r="D44" s="196" t="s">
        <v>140</v>
      </c>
      <c r="E44" s="194" t="s">
        <v>324</v>
      </c>
      <c r="F44" s="131">
        <v>12380817.109375</v>
      </c>
      <c r="K44" s="194" t="s">
        <v>137</v>
      </c>
      <c r="L44" s="195">
        <v>15000000000</v>
      </c>
      <c r="M44" s="196" t="s">
        <v>140</v>
      </c>
      <c r="N44" s="196" t="s">
        <v>141</v>
      </c>
      <c r="O44" s="194" t="s">
        <v>155</v>
      </c>
      <c r="P44" s="154">
        <v>17333143.953125</v>
      </c>
    </row>
    <row r="45" spans="1:21" ht="16.899999999999999" customHeight="1">
      <c r="A45" s="194" t="s">
        <v>137</v>
      </c>
      <c r="B45" s="195">
        <v>15000000000</v>
      </c>
      <c r="C45" s="196" t="s">
        <v>86</v>
      </c>
      <c r="D45" s="196" t="s">
        <v>86</v>
      </c>
      <c r="E45" s="194" t="s">
        <v>325</v>
      </c>
      <c r="F45" s="131">
        <v>14146776.5625</v>
      </c>
      <c r="K45" s="194" t="s">
        <v>137</v>
      </c>
      <c r="L45" s="195">
        <v>30000000000</v>
      </c>
      <c r="M45" s="196" t="s">
        <v>139</v>
      </c>
      <c r="N45" s="196" t="s">
        <v>85</v>
      </c>
      <c r="O45" s="194" t="s">
        <v>156</v>
      </c>
      <c r="P45" s="154">
        <v>7238192</v>
      </c>
    </row>
    <row r="46" spans="1:21" ht="16.899999999999999" customHeight="1">
      <c r="A46" s="194" t="s">
        <v>137</v>
      </c>
      <c r="B46" s="195">
        <v>15000000000</v>
      </c>
      <c r="C46" s="196" t="s">
        <v>141</v>
      </c>
      <c r="D46" s="196" t="s">
        <v>141</v>
      </c>
      <c r="E46" s="194" t="s">
        <v>326</v>
      </c>
      <c r="F46" s="131">
        <v>21145940.15625</v>
      </c>
      <c r="K46" s="194" t="s">
        <v>137</v>
      </c>
      <c r="L46" s="195">
        <v>30000000000</v>
      </c>
      <c r="M46" s="196" t="s">
        <v>85</v>
      </c>
      <c r="N46" s="196" t="s">
        <v>86</v>
      </c>
      <c r="O46" s="194" t="s">
        <v>157</v>
      </c>
      <c r="P46" s="154">
        <v>13311688.1844375</v>
      </c>
    </row>
    <row r="47" spans="1:21" ht="16.899999999999999" customHeight="1">
      <c r="A47" s="194" t="s">
        <v>137</v>
      </c>
      <c r="B47" s="195">
        <v>30000000000</v>
      </c>
      <c r="C47" s="196" t="s">
        <v>139</v>
      </c>
      <c r="D47" s="196" t="s">
        <v>139</v>
      </c>
      <c r="E47" s="194" t="s">
        <v>327</v>
      </c>
      <c r="F47" s="131">
        <v>5567840</v>
      </c>
      <c r="K47" s="194" t="s">
        <v>137</v>
      </c>
      <c r="L47" s="195">
        <v>30000000000</v>
      </c>
      <c r="M47" s="196" t="s">
        <v>140</v>
      </c>
      <c r="N47" s="196" t="s">
        <v>141</v>
      </c>
      <c r="O47" s="194" t="s">
        <v>158</v>
      </c>
      <c r="P47" s="154">
        <v>20391934.0625</v>
      </c>
    </row>
    <row r="48" spans="1:21" ht="16.899999999999999" customHeight="1">
      <c r="A48" s="194" t="s">
        <v>137</v>
      </c>
      <c r="B48" s="195">
        <v>30000000000</v>
      </c>
      <c r="C48" s="196" t="s">
        <v>85</v>
      </c>
      <c r="D48" s="196" t="s">
        <v>85</v>
      </c>
      <c r="E48" s="194" t="s">
        <v>328</v>
      </c>
      <c r="F48" s="131">
        <v>9860509.7662499994</v>
      </c>
      <c r="K48" s="194" t="s">
        <v>137</v>
      </c>
      <c r="L48" s="39">
        <v>45000000000</v>
      </c>
      <c r="M48" s="196" t="s">
        <v>139</v>
      </c>
      <c r="N48" s="196" t="s">
        <v>85</v>
      </c>
      <c r="O48" s="194" t="s">
        <v>159</v>
      </c>
      <c r="P48" s="154">
        <v>7867600</v>
      </c>
    </row>
    <row r="49" spans="1:16" ht="16.899999999999999" customHeight="1">
      <c r="A49" s="194" t="s">
        <v>137</v>
      </c>
      <c r="B49" s="195">
        <v>30000000000</v>
      </c>
      <c r="C49" s="196" t="s">
        <v>140</v>
      </c>
      <c r="D49" s="196" t="s">
        <v>140</v>
      </c>
      <c r="E49" s="194" t="s">
        <v>329</v>
      </c>
      <c r="F49" s="131">
        <v>14565667.1875</v>
      </c>
      <c r="K49" s="194" t="s">
        <v>137</v>
      </c>
      <c r="L49" s="39">
        <v>45000000000</v>
      </c>
      <c r="M49" s="196" t="s">
        <v>85</v>
      </c>
      <c r="N49" s="196" t="s">
        <v>86</v>
      </c>
      <c r="O49" s="194" t="s">
        <v>160</v>
      </c>
      <c r="P49" s="154">
        <v>15660809.62875</v>
      </c>
    </row>
    <row r="50" spans="1:16" ht="16.899999999999999" customHeight="1">
      <c r="A50" s="194" t="s">
        <v>137</v>
      </c>
      <c r="B50" s="195">
        <v>30000000000</v>
      </c>
      <c r="C50" s="196" t="s">
        <v>86</v>
      </c>
      <c r="D50" s="196" t="s">
        <v>86</v>
      </c>
      <c r="E50" s="194" t="s">
        <v>330</v>
      </c>
      <c r="F50" s="131">
        <v>18862368.75</v>
      </c>
      <c r="K50" s="194" t="s">
        <v>137</v>
      </c>
      <c r="L50" s="39">
        <v>45000000000</v>
      </c>
      <c r="M50" s="196" t="s">
        <v>140</v>
      </c>
      <c r="N50" s="196" t="s">
        <v>141</v>
      </c>
      <c r="O50" s="194" t="s">
        <v>161</v>
      </c>
      <c r="P50" s="154">
        <v>21465193.75</v>
      </c>
    </row>
    <row r="51" spans="1:16" ht="16.899999999999999" customHeight="1">
      <c r="A51" s="194" t="s">
        <v>137</v>
      </c>
      <c r="B51" s="195">
        <v>30000000000</v>
      </c>
      <c r="C51" s="196" t="s">
        <v>141</v>
      </c>
      <c r="D51" s="196" t="s">
        <v>141</v>
      </c>
      <c r="E51" s="194" t="s">
        <v>331</v>
      </c>
      <c r="F51" s="131">
        <v>28194586.875</v>
      </c>
      <c r="K51" s="194" t="s">
        <v>137</v>
      </c>
      <c r="L51" s="39">
        <v>60000000000</v>
      </c>
      <c r="M51" s="196" t="s">
        <v>139</v>
      </c>
      <c r="N51" s="196" t="s">
        <v>85</v>
      </c>
      <c r="O51" s="194" t="s">
        <v>162</v>
      </c>
      <c r="P51" s="154">
        <v>8840000</v>
      </c>
    </row>
    <row r="52" spans="1:16" ht="16.899999999999999" customHeight="1">
      <c r="A52" s="194" t="s">
        <v>137</v>
      </c>
      <c r="B52" s="195">
        <v>45000000000</v>
      </c>
      <c r="C52" s="196" t="s">
        <v>139</v>
      </c>
      <c r="D52" s="196" t="s">
        <v>139</v>
      </c>
      <c r="E52" s="194" t="s">
        <v>332</v>
      </c>
      <c r="F52" s="131">
        <v>6052000</v>
      </c>
      <c r="K52" s="194" t="s">
        <v>137</v>
      </c>
      <c r="L52" s="39">
        <v>60000000000</v>
      </c>
      <c r="M52" s="196" t="s">
        <v>85</v>
      </c>
      <c r="N52" s="196" t="s">
        <v>86</v>
      </c>
      <c r="O52" s="194" t="s">
        <v>163</v>
      </c>
      <c r="P52" s="154">
        <v>17084519.594999999</v>
      </c>
    </row>
    <row r="53" spans="1:16" ht="16.899999999999999" customHeight="1">
      <c r="A53" s="194" t="s">
        <v>137</v>
      </c>
      <c r="B53" s="195">
        <v>45000000000</v>
      </c>
      <c r="C53" s="196" t="s">
        <v>85</v>
      </c>
      <c r="D53" s="196" t="s">
        <v>85</v>
      </c>
      <c r="E53" s="194" t="s">
        <v>333</v>
      </c>
      <c r="F53" s="131">
        <v>11600599.725</v>
      </c>
      <c r="K53" s="194" t="s">
        <v>137</v>
      </c>
      <c r="L53" s="39">
        <v>60000000000</v>
      </c>
      <c r="M53" s="196" t="s">
        <v>140</v>
      </c>
      <c r="N53" s="196" t="s">
        <v>141</v>
      </c>
      <c r="O53" s="194" t="s">
        <v>164</v>
      </c>
      <c r="P53" s="154">
        <v>23416575</v>
      </c>
    </row>
    <row r="54" spans="1:16" ht="16.899999999999999" customHeight="1">
      <c r="A54" s="194" t="s">
        <v>137</v>
      </c>
      <c r="B54" s="195">
        <v>45000000000</v>
      </c>
      <c r="C54" s="196" t="s">
        <v>140</v>
      </c>
      <c r="D54" s="196" t="s">
        <v>140</v>
      </c>
      <c r="E54" s="194" t="s">
        <v>334</v>
      </c>
      <c r="F54" s="131">
        <v>15332281.25</v>
      </c>
      <c r="K54" s="194" t="s">
        <v>137</v>
      </c>
      <c r="L54" s="39">
        <v>80000000000</v>
      </c>
      <c r="M54" s="196" t="s">
        <v>139</v>
      </c>
      <c r="N54" s="196" t="s">
        <v>85</v>
      </c>
      <c r="O54" s="194" t="s">
        <v>165</v>
      </c>
      <c r="P54" s="154" t="s">
        <v>59</v>
      </c>
    </row>
    <row r="55" spans="1:16" ht="16.899999999999999" customHeight="1">
      <c r="A55" s="194" t="s">
        <v>137</v>
      </c>
      <c r="B55" s="195">
        <v>45000000000</v>
      </c>
      <c r="C55" s="196" t="s">
        <v>86</v>
      </c>
      <c r="D55" s="196" t="s">
        <v>86</v>
      </c>
      <c r="E55" s="194" t="s">
        <v>335</v>
      </c>
      <c r="F55" s="131">
        <v>19855125</v>
      </c>
      <c r="K55" s="194" t="s">
        <v>137</v>
      </c>
      <c r="L55" s="39">
        <v>80000000000</v>
      </c>
      <c r="M55" s="196" t="s">
        <v>85</v>
      </c>
      <c r="N55" s="196" t="s">
        <v>86</v>
      </c>
      <c r="O55" s="194" t="s">
        <v>166</v>
      </c>
      <c r="P55" s="154">
        <v>17552588.625</v>
      </c>
    </row>
    <row r="56" spans="1:16" ht="16.899999999999999" customHeight="1">
      <c r="A56" s="194" t="s">
        <v>137</v>
      </c>
      <c r="B56" s="195">
        <v>45000000000</v>
      </c>
      <c r="C56" s="196" t="s">
        <v>141</v>
      </c>
      <c r="D56" s="196" t="s">
        <v>141</v>
      </c>
      <c r="E56" s="194" t="s">
        <v>336</v>
      </c>
      <c r="F56" s="131">
        <v>28917525</v>
      </c>
      <c r="K56" s="194" t="s">
        <v>137</v>
      </c>
      <c r="L56" s="39">
        <v>80000000000</v>
      </c>
      <c r="M56" s="196" t="s">
        <v>140</v>
      </c>
      <c r="N56" s="196" t="s">
        <v>141</v>
      </c>
      <c r="O56" s="194" t="s">
        <v>167</v>
      </c>
      <c r="P56" s="154">
        <v>27019125</v>
      </c>
    </row>
    <row r="57" spans="1:16" ht="16.899999999999999" customHeight="1" thickBot="1">
      <c r="A57" s="194" t="s">
        <v>137</v>
      </c>
      <c r="B57" s="195">
        <v>60000000000</v>
      </c>
      <c r="C57" s="196" t="s">
        <v>139</v>
      </c>
      <c r="D57" s="196" t="s">
        <v>139</v>
      </c>
      <c r="E57" s="194" t="s">
        <v>337</v>
      </c>
      <c r="F57" s="131">
        <v>6800000</v>
      </c>
      <c r="K57" s="194" t="s">
        <v>137</v>
      </c>
      <c r="L57" s="188">
        <v>100000000000</v>
      </c>
      <c r="M57" s="196" t="s">
        <v>139</v>
      </c>
      <c r="N57" s="196" t="s">
        <v>85</v>
      </c>
      <c r="O57" s="194" t="s">
        <v>168</v>
      </c>
      <c r="P57" s="154" t="s">
        <v>59</v>
      </c>
    </row>
    <row r="58" spans="1:16" ht="16.899999999999999" customHeight="1" thickBot="1">
      <c r="A58" s="194" t="s">
        <v>137</v>
      </c>
      <c r="B58" s="195">
        <v>60000000000</v>
      </c>
      <c r="C58" s="196" t="s">
        <v>85</v>
      </c>
      <c r="D58" s="196" t="s">
        <v>85</v>
      </c>
      <c r="E58" s="194" t="s">
        <v>338</v>
      </c>
      <c r="F58" s="131">
        <v>12655199.699999999</v>
      </c>
      <c r="K58" s="194" t="s">
        <v>137</v>
      </c>
      <c r="L58" s="188">
        <v>100000000000</v>
      </c>
      <c r="M58" s="196" t="s">
        <v>85</v>
      </c>
      <c r="N58" s="196" t="s">
        <v>86</v>
      </c>
      <c r="O58" s="194" t="s">
        <v>169</v>
      </c>
      <c r="P58" s="154">
        <v>20002950</v>
      </c>
    </row>
    <row r="59" spans="1:16" ht="16.899999999999999" customHeight="1" thickBot="1">
      <c r="A59" s="194" t="s">
        <v>137</v>
      </c>
      <c r="B59" s="195">
        <v>60000000000</v>
      </c>
      <c r="C59" s="196" t="s">
        <v>140</v>
      </c>
      <c r="D59" s="196" t="s">
        <v>140</v>
      </c>
      <c r="E59" s="194" t="s">
        <v>339</v>
      </c>
      <c r="F59" s="131">
        <v>16726125</v>
      </c>
      <c r="K59" s="194" t="s">
        <v>137</v>
      </c>
      <c r="L59" s="188">
        <v>100000000000</v>
      </c>
      <c r="M59" s="196" t="s">
        <v>140</v>
      </c>
      <c r="N59" s="196" t="s">
        <v>141</v>
      </c>
      <c r="O59" s="194" t="s">
        <v>170</v>
      </c>
      <c r="P59" s="154">
        <v>29609999.999999996</v>
      </c>
    </row>
    <row r="60" spans="1:16" ht="16.899999999999999" customHeight="1">
      <c r="A60" s="194" t="s">
        <v>137</v>
      </c>
      <c r="B60" s="195">
        <v>60000000000</v>
      </c>
      <c r="C60" s="196" t="s">
        <v>86</v>
      </c>
      <c r="D60" s="196" t="s">
        <v>86</v>
      </c>
      <c r="E60" s="194" t="s">
        <v>340</v>
      </c>
      <c r="F60" s="131">
        <v>22061250</v>
      </c>
      <c r="K60" s="194" t="s">
        <v>109</v>
      </c>
      <c r="L60" s="195">
        <v>15000000000</v>
      </c>
      <c r="M60" s="196" t="s">
        <v>139</v>
      </c>
      <c r="N60" s="196" t="s">
        <v>85</v>
      </c>
      <c r="O60" s="194" t="s">
        <v>171</v>
      </c>
      <c r="P60" s="154">
        <v>7035522.6240000008</v>
      </c>
    </row>
    <row r="61" spans="1:16" ht="16.899999999999999" customHeight="1">
      <c r="A61" s="194" t="s">
        <v>137</v>
      </c>
      <c r="B61" s="195">
        <v>60000000000</v>
      </c>
      <c r="C61" s="196" t="s">
        <v>141</v>
      </c>
      <c r="D61" s="196" t="s">
        <v>141</v>
      </c>
      <c r="E61" s="194" t="s">
        <v>341</v>
      </c>
      <c r="F61" s="131">
        <v>30983062.5</v>
      </c>
      <c r="K61" s="194" t="s">
        <v>109</v>
      </c>
      <c r="L61" s="195">
        <v>15000000000</v>
      </c>
      <c r="M61" s="196" t="s">
        <v>85</v>
      </c>
      <c r="N61" s="196" t="s">
        <v>86</v>
      </c>
      <c r="O61" s="194" t="s">
        <v>172</v>
      </c>
      <c r="P61" s="154">
        <v>12276704.428097483</v>
      </c>
    </row>
    <row r="62" spans="1:16" ht="16.899999999999999" customHeight="1">
      <c r="A62" s="194" t="s">
        <v>137</v>
      </c>
      <c r="B62" s="195">
        <v>80000000000</v>
      </c>
      <c r="C62" s="196" t="s">
        <v>139</v>
      </c>
      <c r="D62" s="196" t="s">
        <v>139</v>
      </c>
      <c r="E62" s="194" t="s">
        <v>342</v>
      </c>
      <c r="F62" s="131" t="s">
        <v>59</v>
      </c>
      <c r="K62" s="194" t="s">
        <v>109</v>
      </c>
      <c r="L62" s="195">
        <v>15000000000</v>
      </c>
      <c r="M62" s="196" t="s">
        <v>140</v>
      </c>
      <c r="N62" s="196" t="s">
        <v>141</v>
      </c>
      <c r="O62" s="194" t="s">
        <v>173</v>
      </c>
      <c r="P62" s="154">
        <v>18893126.908906251</v>
      </c>
    </row>
    <row r="63" spans="1:16" ht="16.899999999999999" customHeight="1">
      <c r="A63" s="194" t="s">
        <v>137</v>
      </c>
      <c r="B63" s="195">
        <v>80000000000</v>
      </c>
      <c r="C63" s="196" t="s">
        <v>85</v>
      </c>
      <c r="D63" s="196" t="s">
        <v>85</v>
      </c>
      <c r="E63" s="194" t="s">
        <v>343</v>
      </c>
      <c r="F63" s="131">
        <v>13001917.5</v>
      </c>
      <c r="K63" s="194" t="s">
        <v>109</v>
      </c>
      <c r="L63" s="195">
        <v>30000000000</v>
      </c>
      <c r="M63" s="196" t="s">
        <v>139</v>
      </c>
      <c r="N63" s="196" t="s">
        <v>85</v>
      </c>
      <c r="O63" s="194" t="s">
        <v>174</v>
      </c>
      <c r="P63" s="154">
        <v>7817247.3600000003</v>
      </c>
    </row>
    <row r="64" spans="1:16" ht="16.899999999999999" customHeight="1">
      <c r="A64" s="194" t="s">
        <v>137</v>
      </c>
      <c r="B64" s="195">
        <v>80000000000</v>
      </c>
      <c r="C64" s="196" t="s">
        <v>140</v>
      </c>
      <c r="D64" s="196" t="s">
        <v>140</v>
      </c>
      <c r="E64" s="194" t="s">
        <v>344</v>
      </c>
      <c r="F64" s="131">
        <v>19299375</v>
      </c>
      <c r="K64" s="194" t="s">
        <v>109</v>
      </c>
      <c r="L64" s="195">
        <v>30000000000</v>
      </c>
      <c r="M64" s="196" t="s">
        <v>85</v>
      </c>
      <c r="N64" s="196" t="s">
        <v>86</v>
      </c>
      <c r="O64" s="194" t="s">
        <v>175</v>
      </c>
      <c r="P64" s="154">
        <v>14443181.680114686</v>
      </c>
    </row>
    <row r="65" spans="1:16" ht="16.899999999999999" customHeight="1">
      <c r="A65" s="194" t="s">
        <v>137</v>
      </c>
      <c r="B65" s="195">
        <v>80000000000</v>
      </c>
      <c r="C65" s="196" t="s">
        <v>86</v>
      </c>
      <c r="D65" s="196" t="s">
        <v>86</v>
      </c>
      <c r="E65" s="194" t="s">
        <v>345</v>
      </c>
      <c r="F65" s="131">
        <v>24975000</v>
      </c>
      <c r="K65" s="194" t="s">
        <v>109</v>
      </c>
      <c r="L65" s="195">
        <v>30000000000</v>
      </c>
      <c r="M65" s="196" t="s">
        <v>140</v>
      </c>
      <c r="N65" s="196" t="s">
        <v>141</v>
      </c>
      <c r="O65" s="194" t="s">
        <v>176</v>
      </c>
      <c r="P65" s="154">
        <v>22227208.128125001</v>
      </c>
    </row>
    <row r="66" spans="1:16" ht="16.899999999999999" customHeight="1">
      <c r="A66" s="194" t="s">
        <v>137</v>
      </c>
      <c r="B66" s="195">
        <v>80000000000</v>
      </c>
      <c r="C66" s="196" t="s">
        <v>141</v>
      </c>
      <c r="D66" s="196" t="s">
        <v>141</v>
      </c>
      <c r="E66" s="194" t="s">
        <v>346</v>
      </c>
      <c r="F66" s="131">
        <v>32613750</v>
      </c>
      <c r="K66" s="194" t="s">
        <v>109</v>
      </c>
      <c r="L66" s="39">
        <v>45000000000</v>
      </c>
      <c r="M66" s="196" t="s">
        <v>139</v>
      </c>
      <c r="N66" s="196" t="s">
        <v>85</v>
      </c>
      <c r="O66" s="194" t="s">
        <v>177</v>
      </c>
      <c r="P66" s="154">
        <v>8497008</v>
      </c>
    </row>
    <row r="67" spans="1:16" ht="16.899999999999999" customHeight="1">
      <c r="A67" s="194" t="s">
        <v>137</v>
      </c>
      <c r="B67" s="195">
        <v>100000000000</v>
      </c>
      <c r="C67" s="196" t="s">
        <v>139</v>
      </c>
      <c r="D67" s="196" t="s">
        <v>139</v>
      </c>
      <c r="E67" s="194" t="s">
        <v>347</v>
      </c>
      <c r="F67" s="131" t="s">
        <v>59</v>
      </c>
      <c r="K67" s="194" t="s">
        <v>109</v>
      </c>
      <c r="L67" s="39">
        <v>45000000000</v>
      </c>
      <c r="M67" s="196" t="s">
        <v>85</v>
      </c>
      <c r="N67" s="196" t="s">
        <v>86</v>
      </c>
      <c r="O67" s="194" t="s">
        <v>178</v>
      </c>
      <c r="P67" s="154">
        <v>16991978.447193749</v>
      </c>
    </row>
    <row r="68" spans="1:16" ht="16.899999999999999" customHeight="1">
      <c r="A68" s="194" t="s">
        <v>137</v>
      </c>
      <c r="B68" s="195">
        <v>100000000000</v>
      </c>
      <c r="C68" s="196" t="s">
        <v>85</v>
      </c>
      <c r="D68" s="196" t="s">
        <v>85</v>
      </c>
      <c r="E68" s="194" t="s">
        <v>348</v>
      </c>
      <c r="F68" s="131">
        <v>14817000</v>
      </c>
      <c r="K68" s="194" t="s">
        <v>109</v>
      </c>
      <c r="L68" s="39">
        <v>45000000000</v>
      </c>
      <c r="M68" s="196" t="s">
        <v>140</v>
      </c>
      <c r="N68" s="196" t="s">
        <v>141</v>
      </c>
      <c r="O68" s="194" t="s">
        <v>179</v>
      </c>
      <c r="P68" s="154">
        <v>23397061.1875</v>
      </c>
    </row>
    <row r="69" spans="1:16" ht="16.899999999999999" customHeight="1">
      <c r="A69" s="194" t="s">
        <v>137</v>
      </c>
      <c r="B69" s="195">
        <v>100000000000</v>
      </c>
      <c r="C69" s="196" t="s">
        <v>140</v>
      </c>
      <c r="D69" s="196" t="s">
        <v>140</v>
      </c>
      <c r="E69" s="194" t="s">
        <v>349</v>
      </c>
      <c r="F69" s="131">
        <v>21150000</v>
      </c>
      <c r="K69" s="194" t="s">
        <v>109</v>
      </c>
      <c r="L69" s="39">
        <v>60000000000</v>
      </c>
      <c r="M69" s="196" t="s">
        <v>139</v>
      </c>
      <c r="N69" s="196" t="s">
        <v>85</v>
      </c>
      <c r="O69" s="194" t="s">
        <v>180</v>
      </c>
      <c r="P69" s="154">
        <v>9547200.0000000019</v>
      </c>
    </row>
    <row r="70" spans="1:16" ht="16.899999999999999" customHeight="1">
      <c r="A70" s="194" t="s">
        <v>137</v>
      </c>
      <c r="B70" s="195">
        <v>100000000000</v>
      </c>
      <c r="C70" s="196" t="s">
        <v>86</v>
      </c>
      <c r="D70" s="196" t="s">
        <v>86</v>
      </c>
      <c r="E70" s="194" t="s">
        <v>350</v>
      </c>
      <c r="F70" s="131">
        <v>27000000</v>
      </c>
      <c r="K70" s="194" t="s">
        <v>109</v>
      </c>
      <c r="L70" s="39">
        <v>60000000000</v>
      </c>
      <c r="M70" s="196" t="s">
        <v>85</v>
      </c>
      <c r="N70" s="196" t="s">
        <v>86</v>
      </c>
      <c r="O70" s="194" t="s">
        <v>181</v>
      </c>
      <c r="P70" s="154">
        <v>18536703.760575</v>
      </c>
    </row>
    <row r="71" spans="1:16" ht="16.899999999999999" customHeight="1">
      <c r="A71" s="194" t="s">
        <v>137</v>
      </c>
      <c r="B71" s="195">
        <v>100000000000</v>
      </c>
      <c r="C71" s="196" t="s">
        <v>141</v>
      </c>
      <c r="D71" s="196" t="s">
        <v>141</v>
      </c>
      <c r="E71" s="194" t="s">
        <v>351</v>
      </c>
      <c r="F71" s="131">
        <v>33450000</v>
      </c>
      <c r="K71" s="194" t="s">
        <v>109</v>
      </c>
      <c r="L71" s="39">
        <v>60000000000</v>
      </c>
      <c r="M71" s="196" t="s">
        <v>140</v>
      </c>
      <c r="N71" s="196" t="s">
        <v>141</v>
      </c>
      <c r="O71" s="194" t="s">
        <v>182</v>
      </c>
      <c r="P71" s="154">
        <v>25524066.75</v>
      </c>
    </row>
    <row r="72" spans="1:16" ht="16.899999999999999" customHeight="1">
      <c r="A72" s="194" t="s">
        <v>109</v>
      </c>
      <c r="B72" s="195">
        <v>15000000000</v>
      </c>
      <c r="C72" s="196" t="s">
        <v>139</v>
      </c>
      <c r="D72" s="196" t="s">
        <v>139</v>
      </c>
      <c r="E72" s="194" t="s">
        <v>352</v>
      </c>
      <c r="F72" s="131">
        <v>5411940.4800000004</v>
      </c>
      <c r="K72" s="194" t="s">
        <v>109</v>
      </c>
      <c r="L72" s="39">
        <v>80000000000</v>
      </c>
      <c r="M72" s="196" t="s">
        <v>139</v>
      </c>
      <c r="N72" s="196" t="s">
        <v>85</v>
      </c>
      <c r="O72" s="194" t="s">
        <v>183</v>
      </c>
      <c r="P72" s="154" t="s">
        <v>59</v>
      </c>
    </row>
    <row r="73" spans="1:16" ht="16.899999999999999" customHeight="1">
      <c r="A73" s="194" t="s">
        <v>109</v>
      </c>
      <c r="B73" s="195">
        <v>15000000000</v>
      </c>
      <c r="C73" s="196" t="s">
        <v>85</v>
      </c>
      <c r="D73" s="196" t="s">
        <v>85</v>
      </c>
      <c r="E73" s="194" t="s">
        <v>353</v>
      </c>
      <c r="F73" s="131">
        <v>9093855.1319240611</v>
      </c>
      <c r="K73" s="194" t="s">
        <v>109</v>
      </c>
      <c r="L73" s="39">
        <v>80000000000</v>
      </c>
      <c r="M73" s="196" t="s">
        <v>85</v>
      </c>
      <c r="N73" s="196" t="s">
        <v>86</v>
      </c>
      <c r="O73" s="194" t="s">
        <v>184</v>
      </c>
      <c r="P73" s="154">
        <v>19044558.658124998</v>
      </c>
    </row>
    <row r="74" spans="1:16" ht="16.899999999999999" customHeight="1">
      <c r="A74" s="194" t="s">
        <v>109</v>
      </c>
      <c r="B74" s="195">
        <v>15000000000</v>
      </c>
      <c r="C74" s="196" t="s">
        <v>140</v>
      </c>
      <c r="D74" s="196" t="s">
        <v>140</v>
      </c>
      <c r="E74" s="194" t="s">
        <v>354</v>
      </c>
      <c r="F74" s="131">
        <v>13495090.649218751</v>
      </c>
      <c r="K74" s="194" t="s">
        <v>109</v>
      </c>
      <c r="L74" s="39">
        <v>80000000000</v>
      </c>
      <c r="M74" s="196" t="s">
        <v>140</v>
      </c>
      <c r="N74" s="196" t="s">
        <v>141</v>
      </c>
      <c r="O74" s="194" t="s">
        <v>185</v>
      </c>
      <c r="P74" s="154">
        <v>29450846.249999996</v>
      </c>
    </row>
    <row r="75" spans="1:16" ht="16.899999999999999" customHeight="1" thickBot="1">
      <c r="A75" s="194" t="s">
        <v>109</v>
      </c>
      <c r="B75" s="195">
        <v>15000000000</v>
      </c>
      <c r="C75" s="196" t="s">
        <v>86</v>
      </c>
      <c r="D75" s="196" t="s">
        <v>86</v>
      </c>
      <c r="E75" s="194" t="s">
        <v>355</v>
      </c>
      <c r="F75" s="131">
        <v>15561454.218750002</v>
      </c>
      <c r="K75" s="194" t="s">
        <v>109</v>
      </c>
      <c r="L75" s="188">
        <v>100000000000</v>
      </c>
      <c r="M75" s="196" t="s">
        <v>139</v>
      </c>
      <c r="N75" s="196" t="s">
        <v>85</v>
      </c>
      <c r="O75" s="194" t="s">
        <v>186</v>
      </c>
      <c r="P75" s="154" t="s">
        <v>59</v>
      </c>
    </row>
    <row r="76" spans="1:16" ht="16.899999999999999" customHeight="1" thickBot="1">
      <c r="A76" s="194" t="s">
        <v>109</v>
      </c>
      <c r="B76" s="195">
        <v>15000000000</v>
      </c>
      <c r="C76" s="196" t="s">
        <v>141</v>
      </c>
      <c r="D76" s="196" t="s">
        <v>141</v>
      </c>
      <c r="E76" s="194" t="s">
        <v>356</v>
      </c>
      <c r="F76" s="131">
        <v>23471993.573437501</v>
      </c>
      <c r="K76" s="194" t="s">
        <v>109</v>
      </c>
      <c r="L76" s="188">
        <v>100000000000</v>
      </c>
      <c r="M76" s="196" t="s">
        <v>85</v>
      </c>
      <c r="N76" s="196" t="s">
        <v>86</v>
      </c>
      <c r="O76" s="194" t="s">
        <v>187</v>
      </c>
      <c r="P76" s="154">
        <v>21703200.75</v>
      </c>
    </row>
    <row r="77" spans="1:16" ht="16.899999999999999" customHeight="1" thickBot="1">
      <c r="A77" s="194" t="s">
        <v>109</v>
      </c>
      <c r="B77" s="195">
        <v>30000000000</v>
      </c>
      <c r="C77" s="196" t="s">
        <v>139</v>
      </c>
      <c r="D77" s="196" t="s">
        <v>139</v>
      </c>
      <c r="E77" s="194" t="s">
        <v>357</v>
      </c>
      <c r="F77" s="131">
        <v>6013267.2000000002</v>
      </c>
      <c r="K77" s="194" t="s">
        <v>109</v>
      </c>
      <c r="L77" s="188">
        <v>100000000000</v>
      </c>
      <c r="M77" s="196" t="s">
        <v>140</v>
      </c>
      <c r="N77" s="196" t="s">
        <v>141</v>
      </c>
      <c r="O77" s="194" t="s">
        <v>188</v>
      </c>
      <c r="P77" s="154">
        <v>32274899.999999996</v>
      </c>
    </row>
    <row r="78" spans="1:16" ht="16.899999999999999" customHeight="1">
      <c r="A78" s="194" t="s">
        <v>109</v>
      </c>
      <c r="B78" s="195">
        <v>30000000000</v>
      </c>
      <c r="C78" s="196" t="s">
        <v>85</v>
      </c>
      <c r="D78" s="196" t="s">
        <v>85</v>
      </c>
      <c r="E78" s="194" t="s">
        <v>358</v>
      </c>
      <c r="F78" s="131">
        <v>10698653.096381249</v>
      </c>
      <c r="K78" s="194" t="s">
        <v>99</v>
      </c>
      <c r="L78" s="195">
        <v>15000000000</v>
      </c>
      <c r="M78" s="196" t="s">
        <v>139</v>
      </c>
      <c r="N78" s="196" t="s">
        <v>85</v>
      </c>
      <c r="O78" s="194" t="s">
        <v>189</v>
      </c>
      <c r="P78" s="154">
        <v>7387298.7552000014</v>
      </c>
    </row>
    <row r="79" spans="1:16" ht="16.899999999999999" customHeight="1">
      <c r="A79" s="194" t="s">
        <v>109</v>
      </c>
      <c r="B79" s="195">
        <v>30000000000</v>
      </c>
      <c r="C79" s="196" t="s">
        <v>140</v>
      </c>
      <c r="D79" s="196" t="s">
        <v>140</v>
      </c>
      <c r="E79" s="194" t="s">
        <v>359</v>
      </c>
      <c r="F79" s="131">
        <v>15876577.234375002</v>
      </c>
      <c r="K79" s="194" t="s">
        <v>99</v>
      </c>
      <c r="L79" s="195">
        <v>15000000000</v>
      </c>
      <c r="M79" s="196" t="s">
        <v>85</v>
      </c>
      <c r="N79" s="196" t="s">
        <v>86</v>
      </c>
      <c r="O79" s="194" t="s">
        <v>190</v>
      </c>
      <c r="P79" s="154">
        <v>13258840.782345282</v>
      </c>
    </row>
    <row r="80" spans="1:16" ht="16.899999999999999" customHeight="1">
      <c r="A80" s="194" t="s">
        <v>109</v>
      </c>
      <c r="B80" s="195">
        <v>30000000000</v>
      </c>
      <c r="C80" s="196" t="s">
        <v>86</v>
      </c>
      <c r="D80" s="196" t="s">
        <v>86</v>
      </c>
      <c r="E80" s="194" t="s">
        <v>360</v>
      </c>
      <c r="F80" s="131">
        <v>20748605.625</v>
      </c>
      <c r="K80" s="194" t="s">
        <v>99</v>
      </c>
      <c r="L80" s="195">
        <v>15000000000</v>
      </c>
      <c r="M80" s="196" t="s">
        <v>140</v>
      </c>
      <c r="N80" s="196" t="s">
        <v>141</v>
      </c>
      <c r="O80" s="194" t="s">
        <v>191</v>
      </c>
      <c r="P80" s="154">
        <v>20782439.599796876</v>
      </c>
    </row>
    <row r="81" spans="1:16" ht="16.899999999999999" customHeight="1">
      <c r="A81" s="194" t="s">
        <v>109</v>
      </c>
      <c r="B81" s="195">
        <v>30000000000</v>
      </c>
      <c r="C81" s="196" t="s">
        <v>141</v>
      </c>
      <c r="D81" s="196" t="s">
        <v>141</v>
      </c>
      <c r="E81" s="194" t="s">
        <v>361</v>
      </c>
      <c r="F81" s="131">
        <v>31295991.431250002</v>
      </c>
      <c r="K81" s="194" t="s">
        <v>99</v>
      </c>
      <c r="L81" s="195">
        <v>30000000000</v>
      </c>
      <c r="M81" s="196" t="s">
        <v>139</v>
      </c>
      <c r="N81" s="196" t="s">
        <v>85</v>
      </c>
      <c r="O81" s="194" t="s">
        <v>192</v>
      </c>
      <c r="P81" s="154">
        <v>8208109.7280000011</v>
      </c>
    </row>
    <row r="82" spans="1:16" ht="16.899999999999999" customHeight="1">
      <c r="A82" s="194" t="s">
        <v>109</v>
      </c>
      <c r="B82" s="195">
        <v>45000000000</v>
      </c>
      <c r="C82" s="196" t="s">
        <v>139</v>
      </c>
      <c r="D82" s="196" t="s">
        <v>139</v>
      </c>
      <c r="E82" s="194" t="s">
        <v>362</v>
      </c>
      <c r="F82" s="131">
        <v>6536160</v>
      </c>
      <c r="K82" s="194" t="s">
        <v>99</v>
      </c>
      <c r="L82" s="195">
        <v>30000000000</v>
      </c>
      <c r="M82" s="196" t="s">
        <v>85</v>
      </c>
      <c r="N82" s="196" t="s">
        <v>86</v>
      </c>
      <c r="O82" s="194" t="s">
        <v>193</v>
      </c>
      <c r="P82" s="154">
        <v>15598636.214523861</v>
      </c>
    </row>
    <row r="83" spans="1:16" ht="16.899999999999999" customHeight="1">
      <c r="A83" s="194" t="s">
        <v>109</v>
      </c>
      <c r="B83" s="195">
        <v>45000000000</v>
      </c>
      <c r="C83" s="196" t="s">
        <v>85</v>
      </c>
      <c r="D83" s="196" t="s">
        <v>85</v>
      </c>
      <c r="E83" s="194" t="s">
        <v>363</v>
      </c>
      <c r="F83" s="131">
        <v>12586650.701624999</v>
      </c>
      <c r="K83" s="194" t="s">
        <v>99</v>
      </c>
      <c r="L83" s="195">
        <v>30000000000</v>
      </c>
      <c r="M83" s="196" t="s">
        <v>140</v>
      </c>
      <c r="N83" s="196" t="s">
        <v>141</v>
      </c>
      <c r="O83" s="194" t="s">
        <v>194</v>
      </c>
      <c r="P83" s="154">
        <v>24449928.940937504</v>
      </c>
    </row>
    <row r="84" spans="1:16" ht="16.899999999999999" customHeight="1">
      <c r="A84" s="194" t="s">
        <v>109</v>
      </c>
      <c r="B84" s="195">
        <v>45000000000</v>
      </c>
      <c r="C84" s="196" t="s">
        <v>140</v>
      </c>
      <c r="D84" s="196" t="s">
        <v>140</v>
      </c>
      <c r="E84" s="194" t="s">
        <v>364</v>
      </c>
      <c r="F84" s="131">
        <v>16712186.562500002</v>
      </c>
      <c r="K84" s="194" t="s">
        <v>99</v>
      </c>
      <c r="L84" s="39">
        <v>45000000000</v>
      </c>
      <c r="M84" s="196" t="s">
        <v>139</v>
      </c>
      <c r="N84" s="196" t="s">
        <v>85</v>
      </c>
      <c r="O84" s="194" t="s">
        <v>195</v>
      </c>
      <c r="P84" s="154">
        <v>8921858.4000000004</v>
      </c>
    </row>
    <row r="85" spans="1:16" ht="16.899999999999999" customHeight="1">
      <c r="A85" s="194" t="s">
        <v>109</v>
      </c>
      <c r="B85" s="195">
        <v>45000000000</v>
      </c>
      <c r="C85" s="196" t="s">
        <v>86</v>
      </c>
      <c r="D85" s="196" t="s">
        <v>86</v>
      </c>
      <c r="E85" s="194" t="s">
        <v>365</v>
      </c>
      <c r="F85" s="131">
        <v>21840637.5</v>
      </c>
      <c r="K85" s="194" t="s">
        <v>99</v>
      </c>
      <c r="L85" s="39">
        <v>45000000000</v>
      </c>
      <c r="M85" s="196" t="s">
        <v>85</v>
      </c>
      <c r="N85" s="196" t="s">
        <v>86</v>
      </c>
      <c r="O85" s="194" t="s">
        <v>196</v>
      </c>
      <c r="P85" s="154">
        <v>18351336.722969253</v>
      </c>
    </row>
    <row r="86" spans="1:16" ht="16.899999999999999" customHeight="1">
      <c r="A86" s="194" t="s">
        <v>109</v>
      </c>
      <c r="B86" s="195">
        <v>45000000000</v>
      </c>
      <c r="C86" s="196" t="s">
        <v>141</v>
      </c>
      <c r="D86" s="196" t="s">
        <v>141</v>
      </c>
      <c r="E86" s="194" t="s">
        <v>366</v>
      </c>
      <c r="F86" s="131">
        <v>32098452.750000004</v>
      </c>
      <c r="K86" s="194" t="s">
        <v>99</v>
      </c>
      <c r="L86" s="39">
        <v>45000000000</v>
      </c>
      <c r="M86" s="196" t="s">
        <v>140</v>
      </c>
      <c r="N86" s="196" t="s">
        <v>141</v>
      </c>
      <c r="O86" s="194" t="s">
        <v>197</v>
      </c>
      <c r="P86" s="154">
        <v>25736767.306250002</v>
      </c>
    </row>
    <row r="87" spans="1:16" ht="16.899999999999999" customHeight="1">
      <c r="A87" s="194" t="s">
        <v>109</v>
      </c>
      <c r="B87" s="195">
        <v>60000000000</v>
      </c>
      <c r="C87" s="196" t="s">
        <v>139</v>
      </c>
      <c r="D87" s="196" t="s">
        <v>139</v>
      </c>
      <c r="E87" s="194" t="s">
        <v>367</v>
      </c>
      <c r="F87" s="131">
        <v>7344000.0000000009</v>
      </c>
      <c r="K87" s="194" t="s">
        <v>99</v>
      </c>
      <c r="L87" s="39">
        <v>60000000000</v>
      </c>
      <c r="M87" s="196" t="s">
        <v>139</v>
      </c>
      <c r="N87" s="196" t="s">
        <v>85</v>
      </c>
      <c r="O87" s="194" t="s">
        <v>198</v>
      </c>
      <c r="P87" s="154">
        <v>10024560.000000002</v>
      </c>
    </row>
    <row r="88" spans="1:16" ht="16.899999999999999" customHeight="1">
      <c r="A88" s="194" t="s">
        <v>109</v>
      </c>
      <c r="B88" s="195">
        <v>60000000000</v>
      </c>
      <c r="C88" s="196" t="s">
        <v>85</v>
      </c>
      <c r="D88" s="196" t="s">
        <v>85</v>
      </c>
      <c r="E88" s="194" t="s">
        <v>368</v>
      </c>
      <c r="F88" s="131">
        <v>13730891.674499998</v>
      </c>
      <c r="K88" s="194" t="s">
        <v>99</v>
      </c>
      <c r="L88" s="39">
        <v>60000000000</v>
      </c>
      <c r="M88" s="196" t="s">
        <v>85</v>
      </c>
      <c r="N88" s="196" t="s">
        <v>86</v>
      </c>
      <c r="O88" s="194" t="s">
        <v>199</v>
      </c>
      <c r="P88" s="154">
        <v>20019640.061420999</v>
      </c>
    </row>
    <row r="89" spans="1:16" ht="16.899999999999999" customHeight="1">
      <c r="A89" s="194" t="s">
        <v>109</v>
      </c>
      <c r="B89" s="195">
        <v>60000000000</v>
      </c>
      <c r="C89" s="196" t="s">
        <v>140</v>
      </c>
      <c r="D89" s="196" t="s">
        <v>140</v>
      </c>
      <c r="E89" s="194" t="s">
        <v>369</v>
      </c>
      <c r="F89" s="131">
        <v>18231476.25</v>
      </c>
      <c r="K89" s="194" t="s">
        <v>99</v>
      </c>
      <c r="L89" s="39">
        <v>60000000000</v>
      </c>
      <c r="M89" s="196" t="s">
        <v>140</v>
      </c>
      <c r="N89" s="196" t="s">
        <v>141</v>
      </c>
      <c r="O89" s="194" t="s">
        <v>200</v>
      </c>
      <c r="P89" s="154">
        <v>28076473.424999997</v>
      </c>
    </row>
    <row r="90" spans="1:16" ht="16.899999999999999" customHeight="1">
      <c r="A90" s="194" t="s">
        <v>109</v>
      </c>
      <c r="B90" s="195">
        <v>60000000000</v>
      </c>
      <c r="C90" s="196" t="s">
        <v>86</v>
      </c>
      <c r="D90" s="196" t="s">
        <v>86</v>
      </c>
      <c r="E90" s="194" t="s">
        <v>370</v>
      </c>
      <c r="F90" s="131">
        <v>24267375.000000004</v>
      </c>
      <c r="K90" s="194" t="s">
        <v>99</v>
      </c>
      <c r="L90" s="39">
        <v>80000000000</v>
      </c>
      <c r="M90" s="196" t="s">
        <v>139</v>
      </c>
      <c r="N90" s="196" t="s">
        <v>85</v>
      </c>
      <c r="O90" s="194" t="s">
        <v>201</v>
      </c>
      <c r="P90" s="154" t="s">
        <v>59</v>
      </c>
    </row>
    <row r="91" spans="1:16" ht="16.899999999999999" customHeight="1">
      <c r="A91" s="194" t="s">
        <v>109</v>
      </c>
      <c r="B91" s="195">
        <v>60000000000</v>
      </c>
      <c r="C91" s="196" t="s">
        <v>141</v>
      </c>
      <c r="D91" s="196" t="s">
        <v>141</v>
      </c>
      <c r="E91" s="194" t="s">
        <v>371</v>
      </c>
      <c r="F91" s="131">
        <v>34391199.375</v>
      </c>
      <c r="K91" s="194" t="s">
        <v>99</v>
      </c>
      <c r="L91" s="39">
        <v>80000000000</v>
      </c>
      <c r="M91" s="196" t="s">
        <v>85</v>
      </c>
      <c r="N91" s="196" t="s">
        <v>86</v>
      </c>
      <c r="O91" s="194" t="s">
        <v>202</v>
      </c>
      <c r="P91" s="154">
        <v>20568123.350775</v>
      </c>
    </row>
    <row r="92" spans="1:16" ht="16.899999999999999" customHeight="1">
      <c r="A92" s="194" t="s">
        <v>109</v>
      </c>
      <c r="B92" s="195">
        <v>80000000000</v>
      </c>
      <c r="C92" s="196" t="s">
        <v>139</v>
      </c>
      <c r="D92" s="196" t="s">
        <v>139</v>
      </c>
      <c r="E92" s="194" t="s">
        <v>372</v>
      </c>
      <c r="F92" s="131" t="s">
        <v>59</v>
      </c>
      <c r="K92" s="194" t="s">
        <v>99</v>
      </c>
      <c r="L92" s="39">
        <v>80000000000</v>
      </c>
      <c r="M92" s="196" t="s">
        <v>140</v>
      </c>
      <c r="N92" s="196" t="s">
        <v>141</v>
      </c>
      <c r="O92" s="194" t="s">
        <v>203</v>
      </c>
      <c r="P92" s="154">
        <v>32395930.875000004</v>
      </c>
    </row>
    <row r="93" spans="1:16" ht="16.899999999999999" customHeight="1" thickBot="1">
      <c r="A93" s="194" t="s">
        <v>109</v>
      </c>
      <c r="B93" s="195">
        <v>80000000000</v>
      </c>
      <c r="C93" s="196" t="s">
        <v>85</v>
      </c>
      <c r="D93" s="196" t="s">
        <v>85</v>
      </c>
      <c r="E93" s="194" t="s">
        <v>373</v>
      </c>
      <c r="F93" s="131">
        <v>14107080.487499999</v>
      </c>
      <c r="K93" s="194" t="s">
        <v>99</v>
      </c>
      <c r="L93" s="188">
        <v>100000000000</v>
      </c>
      <c r="M93" s="196" t="s">
        <v>139</v>
      </c>
      <c r="N93" s="196" t="s">
        <v>85</v>
      </c>
      <c r="O93" s="194" t="s">
        <v>204</v>
      </c>
      <c r="P93" s="154" t="s">
        <v>59</v>
      </c>
    </row>
    <row r="94" spans="1:16" ht="16.899999999999999" customHeight="1" thickBot="1">
      <c r="A94" s="194" t="s">
        <v>109</v>
      </c>
      <c r="B94" s="195">
        <v>80000000000</v>
      </c>
      <c r="C94" s="196" t="s">
        <v>140</v>
      </c>
      <c r="D94" s="196" t="s">
        <v>140</v>
      </c>
      <c r="E94" s="194" t="s">
        <v>374</v>
      </c>
      <c r="F94" s="131">
        <v>21036318.75</v>
      </c>
      <c r="K94" s="194" t="s">
        <v>99</v>
      </c>
      <c r="L94" s="188">
        <v>100000000000</v>
      </c>
      <c r="M94" s="196" t="s">
        <v>85</v>
      </c>
      <c r="N94" s="196" t="s">
        <v>86</v>
      </c>
      <c r="O94" s="194" t="s">
        <v>205</v>
      </c>
      <c r="P94" s="154">
        <v>23439456.810000002</v>
      </c>
    </row>
    <row r="95" spans="1:16" ht="16.899999999999999" customHeight="1" thickBot="1">
      <c r="A95" s="194" t="s">
        <v>109</v>
      </c>
      <c r="B95" s="195">
        <v>80000000000</v>
      </c>
      <c r="C95" s="196" t="s">
        <v>86</v>
      </c>
      <c r="D95" s="196" t="s">
        <v>86</v>
      </c>
      <c r="E95" s="194" t="s">
        <v>375</v>
      </c>
      <c r="F95" s="131">
        <v>27472500.000000004</v>
      </c>
      <c r="K95" s="194" t="s">
        <v>99</v>
      </c>
      <c r="L95" s="188">
        <v>100000000000</v>
      </c>
      <c r="M95" s="196" t="s">
        <v>140</v>
      </c>
      <c r="N95" s="196" t="s">
        <v>141</v>
      </c>
      <c r="O95" s="194" t="s">
        <v>206</v>
      </c>
      <c r="P95" s="154">
        <v>35502390</v>
      </c>
    </row>
    <row r="96" spans="1:16" ht="16.899999999999999" customHeight="1">
      <c r="A96" s="194" t="s">
        <v>109</v>
      </c>
      <c r="B96" s="195">
        <v>80000000000</v>
      </c>
      <c r="C96" s="196" t="s">
        <v>141</v>
      </c>
      <c r="D96" s="196" t="s">
        <v>141</v>
      </c>
      <c r="E96" s="194" t="s">
        <v>376</v>
      </c>
      <c r="F96" s="131">
        <v>36201262.5</v>
      </c>
      <c r="K96" s="194" t="s">
        <v>137</v>
      </c>
      <c r="L96" s="195">
        <v>15000000000</v>
      </c>
      <c r="M96" s="196" t="s">
        <v>86</v>
      </c>
      <c r="N96" s="196" t="s">
        <v>59</v>
      </c>
      <c r="O96" s="194" t="s">
        <v>207</v>
      </c>
      <c r="P96" s="131">
        <v>14146776.5625</v>
      </c>
    </row>
    <row r="97" spans="1:16" ht="16.899999999999999" customHeight="1">
      <c r="A97" s="194" t="s">
        <v>109</v>
      </c>
      <c r="B97" s="195">
        <v>100000000000</v>
      </c>
      <c r="C97" s="196" t="s">
        <v>139</v>
      </c>
      <c r="D97" s="196" t="s">
        <v>139</v>
      </c>
      <c r="E97" s="194" t="s">
        <v>377</v>
      </c>
      <c r="F97" s="131" t="s">
        <v>59</v>
      </c>
      <c r="K97" s="194" t="s">
        <v>137</v>
      </c>
      <c r="L97" s="195">
        <v>15000000000</v>
      </c>
      <c r="M97" s="196" t="s">
        <v>141</v>
      </c>
      <c r="N97" s="196" t="s">
        <v>59</v>
      </c>
      <c r="O97" s="194" t="s">
        <v>208</v>
      </c>
      <c r="P97" s="131">
        <v>21145940.15625</v>
      </c>
    </row>
    <row r="98" spans="1:16" ht="16.899999999999999" customHeight="1">
      <c r="A98" s="194" t="s">
        <v>109</v>
      </c>
      <c r="B98" s="195">
        <v>100000000000</v>
      </c>
      <c r="C98" s="196" t="s">
        <v>85</v>
      </c>
      <c r="D98" s="196" t="s">
        <v>85</v>
      </c>
      <c r="E98" s="194" t="s">
        <v>378</v>
      </c>
      <c r="F98" s="131">
        <v>16076445</v>
      </c>
      <c r="K98" s="194" t="s">
        <v>137</v>
      </c>
      <c r="L98" s="195">
        <v>30000000000</v>
      </c>
      <c r="M98" s="196" t="s">
        <v>86</v>
      </c>
      <c r="N98" s="196" t="s">
        <v>59</v>
      </c>
      <c r="O98" s="194" t="s">
        <v>209</v>
      </c>
      <c r="P98" s="131">
        <v>18862368.75</v>
      </c>
    </row>
    <row r="99" spans="1:16" ht="16.899999999999999" customHeight="1">
      <c r="A99" s="194" t="s">
        <v>109</v>
      </c>
      <c r="B99" s="195">
        <v>100000000000</v>
      </c>
      <c r="C99" s="196" t="s">
        <v>140</v>
      </c>
      <c r="D99" s="196" t="s">
        <v>140</v>
      </c>
      <c r="E99" s="194" t="s">
        <v>379</v>
      </c>
      <c r="F99" s="131">
        <v>23053500</v>
      </c>
      <c r="K99" s="194" t="s">
        <v>137</v>
      </c>
      <c r="L99" s="195">
        <v>30000000000</v>
      </c>
      <c r="M99" s="196" t="s">
        <v>141</v>
      </c>
      <c r="N99" s="196" t="s">
        <v>59</v>
      </c>
      <c r="O99" s="194" t="s">
        <v>210</v>
      </c>
      <c r="P99" s="131">
        <v>28194586.875</v>
      </c>
    </row>
    <row r="100" spans="1:16" ht="16.899999999999999" customHeight="1">
      <c r="A100" s="194" t="s">
        <v>109</v>
      </c>
      <c r="B100" s="195">
        <v>100000000000</v>
      </c>
      <c r="C100" s="196" t="s">
        <v>86</v>
      </c>
      <c r="D100" s="196" t="s">
        <v>86</v>
      </c>
      <c r="E100" s="194" t="s">
        <v>380</v>
      </c>
      <c r="F100" s="131">
        <v>29700000.000000004</v>
      </c>
      <c r="K100" s="194" t="s">
        <v>137</v>
      </c>
      <c r="L100" s="195">
        <v>45000000000</v>
      </c>
      <c r="M100" s="196" t="s">
        <v>86</v>
      </c>
      <c r="N100" s="196" t="s">
        <v>59</v>
      </c>
      <c r="O100" s="194" t="s">
        <v>211</v>
      </c>
      <c r="P100" s="131">
        <v>19855125</v>
      </c>
    </row>
    <row r="101" spans="1:16" ht="16.899999999999999" customHeight="1">
      <c r="A101" s="194" t="s">
        <v>109</v>
      </c>
      <c r="B101" s="195">
        <v>100000000000</v>
      </c>
      <c r="C101" s="196" t="s">
        <v>141</v>
      </c>
      <c r="D101" s="196" t="s">
        <v>141</v>
      </c>
      <c r="E101" s="194" t="s">
        <v>381</v>
      </c>
      <c r="F101" s="131">
        <v>37129500</v>
      </c>
      <c r="K101" s="194" t="s">
        <v>137</v>
      </c>
      <c r="L101" s="195">
        <v>45000000000</v>
      </c>
      <c r="M101" s="196" t="s">
        <v>141</v>
      </c>
      <c r="N101" s="196" t="s">
        <v>59</v>
      </c>
      <c r="O101" s="194" t="s">
        <v>212</v>
      </c>
      <c r="P101" s="131">
        <v>28917525</v>
      </c>
    </row>
    <row r="102" spans="1:16" ht="16.899999999999999" customHeight="1">
      <c r="A102" s="194" t="s">
        <v>99</v>
      </c>
      <c r="B102" s="195">
        <v>15000000000</v>
      </c>
      <c r="C102" s="196" t="s">
        <v>139</v>
      </c>
      <c r="D102" s="196" t="s">
        <v>139</v>
      </c>
      <c r="E102" s="194" t="s">
        <v>382</v>
      </c>
      <c r="F102" s="131">
        <v>5682537.5040000007</v>
      </c>
      <c r="K102" s="194" t="s">
        <v>137</v>
      </c>
      <c r="L102" s="195">
        <v>60000000000</v>
      </c>
      <c r="M102" s="196" t="s">
        <v>86</v>
      </c>
      <c r="N102" s="196" t="s">
        <v>59</v>
      </c>
      <c r="O102" s="194" t="s">
        <v>213</v>
      </c>
      <c r="P102" s="131">
        <v>22061250</v>
      </c>
    </row>
    <row r="103" spans="1:16" ht="16.899999999999999" customHeight="1">
      <c r="A103" s="194" t="s">
        <v>99</v>
      </c>
      <c r="B103" s="195">
        <v>15000000000</v>
      </c>
      <c r="C103" s="196" t="s">
        <v>85</v>
      </c>
      <c r="D103" s="196" t="s">
        <v>85</v>
      </c>
      <c r="E103" s="194" t="s">
        <v>383</v>
      </c>
      <c r="F103" s="131">
        <v>9821363.5424779858</v>
      </c>
      <c r="K103" s="194" t="s">
        <v>137</v>
      </c>
      <c r="L103" s="195">
        <v>60000000000</v>
      </c>
      <c r="M103" s="196" t="s">
        <v>141</v>
      </c>
      <c r="N103" s="196" t="s">
        <v>59</v>
      </c>
      <c r="O103" s="194" t="s">
        <v>214</v>
      </c>
      <c r="P103" s="131">
        <v>30983062.5</v>
      </c>
    </row>
    <row r="104" spans="1:16" ht="16.899999999999999" customHeight="1">
      <c r="A104" s="194" t="s">
        <v>99</v>
      </c>
      <c r="B104" s="195">
        <v>15000000000</v>
      </c>
      <c r="C104" s="196" t="s">
        <v>140</v>
      </c>
      <c r="D104" s="196" t="s">
        <v>140</v>
      </c>
      <c r="E104" s="194" t="s">
        <v>384</v>
      </c>
      <c r="F104" s="131">
        <v>14844599.714140628</v>
      </c>
      <c r="K104" s="194" t="s">
        <v>137</v>
      </c>
      <c r="L104" s="195">
        <v>80000000000</v>
      </c>
      <c r="M104" s="196" t="s">
        <v>86</v>
      </c>
      <c r="N104" s="196" t="s">
        <v>59</v>
      </c>
      <c r="O104" s="194" t="s">
        <v>215</v>
      </c>
      <c r="P104" s="131">
        <v>24975000</v>
      </c>
    </row>
    <row r="105" spans="1:16" ht="16.899999999999999" customHeight="1">
      <c r="A105" s="194" t="s">
        <v>99</v>
      </c>
      <c r="B105" s="195">
        <v>15000000000</v>
      </c>
      <c r="C105" s="196" t="s">
        <v>86</v>
      </c>
      <c r="D105" s="196" t="s">
        <v>86</v>
      </c>
      <c r="E105" s="194" t="s">
        <v>385</v>
      </c>
      <c r="F105" s="131">
        <v>17273214.182812504</v>
      </c>
      <c r="K105" s="194" t="s">
        <v>137</v>
      </c>
      <c r="L105" s="195">
        <v>80000000000</v>
      </c>
      <c r="M105" s="196" t="s">
        <v>141</v>
      </c>
      <c r="N105" s="196" t="s">
        <v>59</v>
      </c>
      <c r="O105" s="194" t="s">
        <v>216</v>
      </c>
      <c r="P105" s="131">
        <v>32613750</v>
      </c>
    </row>
    <row r="106" spans="1:16" ht="16.899999999999999" customHeight="1">
      <c r="A106" s="194" t="s">
        <v>99</v>
      </c>
      <c r="B106" s="195">
        <v>15000000000</v>
      </c>
      <c r="C106" s="196" t="s">
        <v>141</v>
      </c>
      <c r="D106" s="196" t="s">
        <v>141</v>
      </c>
      <c r="E106" s="194" t="s">
        <v>386</v>
      </c>
      <c r="F106" s="131">
        <v>26288632.802250002</v>
      </c>
      <c r="K106" s="194" t="s">
        <v>137</v>
      </c>
      <c r="L106" s="195">
        <v>100000000000</v>
      </c>
      <c r="M106" s="196" t="s">
        <v>86</v>
      </c>
      <c r="N106" s="196" t="s">
        <v>59</v>
      </c>
      <c r="O106" s="194" t="s">
        <v>217</v>
      </c>
      <c r="P106" s="131">
        <v>27000000</v>
      </c>
    </row>
    <row r="107" spans="1:16" ht="16.899999999999999" customHeight="1">
      <c r="A107" s="194" t="s">
        <v>99</v>
      </c>
      <c r="B107" s="195">
        <v>30000000000</v>
      </c>
      <c r="C107" s="196" t="s">
        <v>139</v>
      </c>
      <c r="D107" s="196" t="s">
        <v>139</v>
      </c>
      <c r="E107" s="194" t="s">
        <v>387</v>
      </c>
      <c r="F107" s="131">
        <v>6313930.5600000005</v>
      </c>
      <c r="K107" s="194" t="s">
        <v>137</v>
      </c>
      <c r="L107" s="195">
        <v>100000000000</v>
      </c>
      <c r="M107" s="196" t="s">
        <v>141</v>
      </c>
      <c r="N107" s="196" t="s">
        <v>59</v>
      </c>
      <c r="O107" s="194" t="s">
        <v>218</v>
      </c>
      <c r="P107" s="131">
        <v>33450000</v>
      </c>
    </row>
    <row r="108" spans="1:16" ht="16.899999999999999" customHeight="1">
      <c r="A108" s="194" t="s">
        <v>99</v>
      </c>
      <c r="B108" s="195">
        <v>30000000000</v>
      </c>
      <c r="C108" s="196" t="s">
        <v>85</v>
      </c>
      <c r="D108" s="196" t="s">
        <v>85</v>
      </c>
      <c r="E108" s="194" t="s">
        <v>388</v>
      </c>
      <c r="F108" s="131">
        <v>11554545.344091749</v>
      </c>
      <c r="K108" s="194" t="s">
        <v>109</v>
      </c>
      <c r="L108" s="195">
        <v>15000000000</v>
      </c>
      <c r="M108" s="196" t="s">
        <v>86</v>
      </c>
      <c r="N108" s="196" t="s">
        <v>59</v>
      </c>
      <c r="O108" s="194" t="s">
        <v>219</v>
      </c>
      <c r="P108" s="131">
        <v>15561454.218750002</v>
      </c>
    </row>
    <row r="109" spans="1:16" ht="16.899999999999999" customHeight="1">
      <c r="A109" s="194" t="s">
        <v>99</v>
      </c>
      <c r="B109" s="195">
        <v>30000000000</v>
      </c>
      <c r="C109" s="196" t="s">
        <v>140</v>
      </c>
      <c r="D109" s="196" t="s">
        <v>140</v>
      </c>
      <c r="E109" s="194" t="s">
        <v>389</v>
      </c>
      <c r="F109" s="131">
        <v>17464234.957812503</v>
      </c>
      <c r="K109" s="194" t="s">
        <v>109</v>
      </c>
      <c r="L109" s="195">
        <v>15000000000</v>
      </c>
      <c r="M109" s="196" t="s">
        <v>141</v>
      </c>
      <c r="N109" s="196" t="s">
        <v>59</v>
      </c>
      <c r="O109" s="194" t="s">
        <v>220</v>
      </c>
      <c r="P109" s="131">
        <v>23471993.573437501</v>
      </c>
    </row>
    <row r="110" spans="1:16" ht="16.899999999999999" customHeight="1">
      <c r="A110" s="194" t="s">
        <v>99</v>
      </c>
      <c r="B110" s="195">
        <v>30000000000</v>
      </c>
      <c r="C110" s="196" t="s">
        <v>86</v>
      </c>
      <c r="D110" s="196" t="s">
        <v>86</v>
      </c>
      <c r="E110" s="194" t="s">
        <v>390</v>
      </c>
      <c r="F110" s="131">
        <v>23030952.243750002</v>
      </c>
      <c r="K110" s="194" t="s">
        <v>109</v>
      </c>
      <c r="L110" s="195">
        <v>30000000000</v>
      </c>
      <c r="M110" s="196" t="s">
        <v>86</v>
      </c>
      <c r="N110" s="196" t="s">
        <v>59</v>
      </c>
      <c r="O110" s="194" t="s">
        <v>221</v>
      </c>
      <c r="P110" s="131">
        <v>20748605.625</v>
      </c>
    </row>
    <row r="111" spans="1:16" ht="16.899999999999999" customHeight="1">
      <c r="A111" s="194" t="s">
        <v>99</v>
      </c>
      <c r="B111" s="195">
        <v>30000000000</v>
      </c>
      <c r="C111" s="196" t="s">
        <v>141</v>
      </c>
      <c r="D111" s="196" t="s">
        <v>141</v>
      </c>
      <c r="E111" s="194" t="s">
        <v>391</v>
      </c>
      <c r="F111" s="131">
        <v>35051510.403000005</v>
      </c>
      <c r="K111" s="194" t="s">
        <v>109</v>
      </c>
      <c r="L111" s="195">
        <v>30000000000</v>
      </c>
      <c r="M111" s="196" t="s">
        <v>141</v>
      </c>
      <c r="N111" s="196" t="s">
        <v>59</v>
      </c>
      <c r="O111" s="194" t="s">
        <v>222</v>
      </c>
      <c r="P111" s="131">
        <v>31295991.431250002</v>
      </c>
    </row>
    <row r="112" spans="1:16" ht="16.899999999999999" customHeight="1">
      <c r="A112" s="194" t="s">
        <v>99</v>
      </c>
      <c r="B112" s="195">
        <v>45000000000</v>
      </c>
      <c r="C112" s="196" t="s">
        <v>139</v>
      </c>
      <c r="D112" s="196" t="s">
        <v>139</v>
      </c>
      <c r="E112" s="194" t="s">
        <v>392</v>
      </c>
      <c r="F112" s="131">
        <v>6862968</v>
      </c>
      <c r="K112" s="194" t="s">
        <v>109</v>
      </c>
      <c r="L112" s="195">
        <v>45000000000</v>
      </c>
      <c r="M112" s="196" t="s">
        <v>86</v>
      </c>
      <c r="N112" s="196" t="s">
        <v>59</v>
      </c>
      <c r="O112" s="194" t="s">
        <v>223</v>
      </c>
      <c r="P112" s="131">
        <v>21840637.5</v>
      </c>
    </row>
    <row r="113" spans="1:16" ht="16.899999999999999" customHeight="1">
      <c r="A113" s="194" t="s">
        <v>99</v>
      </c>
      <c r="B113" s="195">
        <v>45000000000</v>
      </c>
      <c r="C113" s="196" t="s">
        <v>85</v>
      </c>
      <c r="D113" s="196" t="s">
        <v>85</v>
      </c>
      <c r="E113" s="194" t="s">
        <v>393</v>
      </c>
      <c r="F113" s="131">
        <v>13593582.757755</v>
      </c>
      <c r="K113" s="194" t="s">
        <v>109</v>
      </c>
      <c r="L113" s="195">
        <v>45000000000</v>
      </c>
      <c r="M113" s="196" t="s">
        <v>141</v>
      </c>
      <c r="N113" s="196" t="s">
        <v>59</v>
      </c>
      <c r="O113" s="194" t="s">
        <v>224</v>
      </c>
      <c r="P113" s="131">
        <v>32098452.750000004</v>
      </c>
    </row>
    <row r="114" spans="1:16" ht="16.899999999999999" customHeight="1">
      <c r="A114" s="194" t="s">
        <v>99</v>
      </c>
      <c r="B114" s="195">
        <v>45000000000</v>
      </c>
      <c r="C114" s="196" t="s">
        <v>140</v>
      </c>
      <c r="D114" s="196" t="s">
        <v>140</v>
      </c>
      <c r="E114" s="194" t="s">
        <v>394</v>
      </c>
      <c r="F114" s="131">
        <v>18383405.218750004</v>
      </c>
      <c r="K114" s="194" t="s">
        <v>109</v>
      </c>
      <c r="L114" s="195">
        <v>60000000000</v>
      </c>
      <c r="M114" s="196" t="s">
        <v>86</v>
      </c>
      <c r="N114" s="196" t="s">
        <v>59</v>
      </c>
      <c r="O114" s="194" t="s">
        <v>225</v>
      </c>
      <c r="P114" s="131">
        <v>24267375.000000004</v>
      </c>
    </row>
    <row r="115" spans="1:16" ht="16.899999999999999" customHeight="1">
      <c r="A115" s="194" t="s">
        <v>99</v>
      </c>
      <c r="B115" s="195">
        <v>45000000000</v>
      </c>
      <c r="C115" s="196" t="s">
        <v>86</v>
      </c>
      <c r="D115" s="196" t="s">
        <v>86</v>
      </c>
      <c r="E115" s="194" t="s">
        <v>395</v>
      </c>
      <c r="F115" s="131">
        <v>24243107.625000004</v>
      </c>
      <c r="K115" s="194" t="s">
        <v>109</v>
      </c>
      <c r="L115" s="195">
        <v>60000000000</v>
      </c>
      <c r="M115" s="196" t="s">
        <v>141</v>
      </c>
      <c r="N115" s="196" t="s">
        <v>59</v>
      </c>
      <c r="O115" s="194" t="s">
        <v>226</v>
      </c>
      <c r="P115" s="131">
        <v>34391199.375</v>
      </c>
    </row>
    <row r="116" spans="1:16" ht="16.899999999999999" customHeight="1">
      <c r="A116" s="194" t="s">
        <v>99</v>
      </c>
      <c r="B116" s="195">
        <v>45000000000</v>
      </c>
      <c r="C116" s="196" t="s">
        <v>141</v>
      </c>
      <c r="D116" s="196" t="s">
        <v>141</v>
      </c>
      <c r="E116" s="194" t="s">
        <v>396</v>
      </c>
      <c r="F116" s="131">
        <v>35950267.080000006</v>
      </c>
      <c r="K116" s="194" t="s">
        <v>109</v>
      </c>
      <c r="L116" s="195">
        <v>80000000000</v>
      </c>
      <c r="M116" s="196" t="s">
        <v>86</v>
      </c>
      <c r="N116" s="196" t="s">
        <v>59</v>
      </c>
      <c r="O116" s="194" t="s">
        <v>227</v>
      </c>
      <c r="P116" s="131">
        <v>27472500.000000004</v>
      </c>
    </row>
    <row r="117" spans="1:16" ht="16.899999999999999" customHeight="1">
      <c r="A117" s="194" t="s">
        <v>99</v>
      </c>
      <c r="B117" s="195">
        <v>60000000000</v>
      </c>
      <c r="C117" s="196" t="s">
        <v>139</v>
      </c>
      <c r="D117" s="196" t="s">
        <v>139</v>
      </c>
      <c r="E117" s="194" t="s">
        <v>397</v>
      </c>
      <c r="F117" s="131">
        <v>7711200.0000000009</v>
      </c>
      <c r="K117" s="194" t="s">
        <v>109</v>
      </c>
      <c r="L117" s="195">
        <v>80000000000</v>
      </c>
      <c r="M117" s="196" t="s">
        <v>141</v>
      </c>
      <c r="N117" s="196" t="s">
        <v>59</v>
      </c>
      <c r="O117" s="194" t="s">
        <v>228</v>
      </c>
      <c r="P117" s="131">
        <v>36201262.5</v>
      </c>
    </row>
    <row r="118" spans="1:16" ht="16.899999999999999" customHeight="1">
      <c r="A118" s="194" t="s">
        <v>99</v>
      </c>
      <c r="B118" s="195">
        <v>60000000000</v>
      </c>
      <c r="C118" s="196" t="s">
        <v>85</v>
      </c>
      <c r="D118" s="196" t="s">
        <v>85</v>
      </c>
      <c r="E118" s="194" t="s">
        <v>398</v>
      </c>
      <c r="F118" s="131">
        <v>14829363.008459998</v>
      </c>
      <c r="K118" s="194" t="s">
        <v>109</v>
      </c>
      <c r="L118" s="195">
        <v>100000000000</v>
      </c>
      <c r="M118" s="196" t="s">
        <v>86</v>
      </c>
      <c r="N118" s="196" t="s">
        <v>59</v>
      </c>
      <c r="O118" s="194" t="s">
        <v>229</v>
      </c>
      <c r="P118" s="131">
        <v>29700000.000000004</v>
      </c>
    </row>
    <row r="119" spans="1:16" ht="16.899999999999999" customHeight="1">
      <c r="A119" s="194" t="s">
        <v>99</v>
      </c>
      <c r="B119" s="195">
        <v>60000000000</v>
      </c>
      <c r="C119" s="196" t="s">
        <v>140</v>
      </c>
      <c r="D119" s="196" t="s">
        <v>140</v>
      </c>
      <c r="E119" s="194" t="s">
        <v>399</v>
      </c>
      <c r="F119" s="131">
        <v>20054623.875</v>
      </c>
      <c r="K119" s="194" t="s">
        <v>109</v>
      </c>
      <c r="L119" s="195">
        <v>100000000000</v>
      </c>
      <c r="M119" s="196" t="s">
        <v>141</v>
      </c>
      <c r="N119" s="196" t="s">
        <v>59</v>
      </c>
      <c r="O119" s="194" t="s">
        <v>230</v>
      </c>
      <c r="P119" s="131">
        <v>37129500</v>
      </c>
    </row>
    <row r="120" spans="1:16" ht="16.899999999999999" customHeight="1">
      <c r="A120" s="194" t="s">
        <v>99</v>
      </c>
      <c r="B120" s="195">
        <v>60000000000</v>
      </c>
      <c r="C120" s="196" t="s">
        <v>86</v>
      </c>
      <c r="D120" s="196" t="s">
        <v>86</v>
      </c>
      <c r="E120" s="194" t="s">
        <v>400</v>
      </c>
      <c r="F120" s="131">
        <v>26936786.250000007</v>
      </c>
      <c r="K120" s="194" t="s">
        <v>99</v>
      </c>
      <c r="L120" s="195">
        <v>15000000000</v>
      </c>
      <c r="M120" s="196" t="s">
        <v>86</v>
      </c>
      <c r="N120" s="196" t="s">
        <v>59</v>
      </c>
      <c r="O120" s="194" t="s">
        <v>231</v>
      </c>
      <c r="P120" s="131">
        <v>17273214.182812504</v>
      </c>
    </row>
    <row r="121" spans="1:16" ht="16.899999999999999" customHeight="1">
      <c r="A121" s="194" t="s">
        <v>99</v>
      </c>
      <c r="B121" s="195">
        <v>60000000000</v>
      </c>
      <c r="C121" s="196" t="s">
        <v>141</v>
      </c>
      <c r="D121" s="196" t="s">
        <v>141</v>
      </c>
      <c r="E121" s="194" t="s">
        <v>401</v>
      </c>
      <c r="F121" s="131">
        <v>38518143.300000004</v>
      </c>
      <c r="K121" s="194" t="s">
        <v>99</v>
      </c>
      <c r="L121" s="195">
        <v>15000000000</v>
      </c>
      <c r="M121" s="196" t="s">
        <v>141</v>
      </c>
      <c r="N121" s="196" t="s">
        <v>59</v>
      </c>
      <c r="O121" s="194" t="s">
        <v>232</v>
      </c>
      <c r="P121" s="131">
        <v>26288632.802250002</v>
      </c>
    </row>
    <row r="122" spans="1:16" ht="16.899999999999999" customHeight="1">
      <c r="A122" s="194" t="s">
        <v>99</v>
      </c>
      <c r="B122" s="195">
        <v>80000000000</v>
      </c>
      <c r="C122" s="196" t="s">
        <v>139</v>
      </c>
      <c r="D122" s="196" t="s">
        <v>139</v>
      </c>
      <c r="E122" s="194" t="s">
        <v>402</v>
      </c>
      <c r="F122" s="131" t="s">
        <v>59</v>
      </c>
      <c r="K122" s="194" t="s">
        <v>99</v>
      </c>
      <c r="L122" s="195">
        <v>30000000000</v>
      </c>
      <c r="M122" s="196" t="s">
        <v>86</v>
      </c>
      <c r="N122" s="196" t="s">
        <v>59</v>
      </c>
      <c r="O122" s="194" t="s">
        <v>233</v>
      </c>
      <c r="P122" s="131">
        <v>23030952.243750002</v>
      </c>
    </row>
    <row r="123" spans="1:16" ht="16.899999999999999" customHeight="1">
      <c r="A123" s="194" t="s">
        <v>99</v>
      </c>
      <c r="B123" s="195">
        <v>80000000000</v>
      </c>
      <c r="C123" s="196" t="s">
        <v>85</v>
      </c>
      <c r="D123" s="196" t="s">
        <v>85</v>
      </c>
      <c r="E123" s="194" t="s">
        <v>403</v>
      </c>
      <c r="F123" s="131">
        <v>15235646.9265</v>
      </c>
      <c r="K123" s="194" t="s">
        <v>99</v>
      </c>
      <c r="L123" s="195">
        <v>30000000000</v>
      </c>
      <c r="M123" s="196" t="s">
        <v>141</v>
      </c>
      <c r="N123" s="196" t="s">
        <v>59</v>
      </c>
      <c r="O123" s="194" t="s">
        <v>234</v>
      </c>
      <c r="P123" s="131">
        <v>35051510.403000005</v>
      </c>
    </row>
    <row r="124" spans="1:16" ht="16.899999999999999" customHeight="1">
      <c r="A124" s="194" t="s">
        <v>99</v>
      </c>
      <c r="B124" s="195">
        <v>80000000000</v>
      </c>
      <c r="C124" s="196" t="s">
        <v>140</v>
      </c>
      <c r="D124" s="196" t="s">
        <v>140</v>
      </c>
      <c r="E124" s="194" t="s">
        <v>404</v>
      </c>
      <c r="F124" s="131">
        <v>23139950.625000004</v>
      </c>
      <c r="K124" s="194" t="s">
        <v>99</v>
      </c>
      <c r="L124" s="195">
        <v>45000000000</v>
      </c>
      <c r="M124" s="196" t="s">
        <v>86</v>
      </c>
      <c r="N124" s="196" t="s">
        <v>59</v>
      </c>
      <c r="O124" s="194" t="s">
        <v>235</v>
      </c>
      <c r="P124" s="131">
        <v>24243107.625000004</v>
      </c>
    </row>
    <row r="125" spans="1:16" ht="16.899999999999999" customHeight="1">
      <c r="A125" s="194" t="s">
        <v>99</v>
      </c>
      <c r="B125" s="195">
        <v>80000000000</v>
      </c>
      <c r="C125" s="196" t="s">
        <v>86</v>
      </c>
      <c r="D125" s="196" t="s">
        <v>86</v>
      </c>
      <c r="E125" s="194" t="s">
        <v>405</v>
      </c>
      <c r="F125" s="131">
        <v>30494475.000000007</v>
      </c>
      <c r="K125" s="194" t="s">
        <v>99</v>
      </c>
      <c r="L125" s="195">
        <v>45000000000</v>
      </c>
      <c r="M125" s="196" t="s">
        <v>141</v>
      </c>
      <c r="N125" s="196" t="s">
        <v>59</v>
      </c>
      <c r="O125" s="194" t="s">
        <v>236</v>
      </c>
      <c r="P125" s="131">
        <v>35950267.080000006</v>
      </c>
    </row>
    <row r="126" spans="1:16" ht="16.899999999999999" customHeight="1">
      <c r="A126" s="194" t="s">
        <v>99</v>
      </c>
      <c r="B126" s="195">
        <v>80000000000</v>
      </c>
      <c r="C126" s="196" t="s">
        <v>141</v>
      </c>
      <c r="D126" s="196" t="s">
        <v>141</v>
      </c>
      <c r="E126" s="194" t="s">
        <v>406</v>
      </c>
      <c r="F126" s="131">
        <v>40545414.000000007</v>
      </c>
      <c r="K126" s="194" t="s">
        <v>99</v>
      </c>
      <c r="L126" s="195">
        <v>60000000000</v>
      </c>
      <c r="M126" s="196" t="s">
        <v>86</v>
      </c>
      <c r="N126" s="196" t="s">
        <v>59</v>
      </c>
      <c r="O126" s="194" t="s">
        <v>237</v>
      </c>
      <c r="P126" s="131">
        <v>26936786.250000007</v>
      </c>
    </row>
    <row r="127" spans="1:16" ht="16.899999999999999" customHeight="1">
      <c r="A127" s="194" t="s">
        <v>99</v>
      </c>
      <c r="B127" s="195">
        <v>100000000000</v>
      </c>
      <c r="C127" s="196" t="s">
        <v>139</v>
      </c>
      <c r="D127" s="196" t="s">
        <v>139</v>
      </c>
      <c r="E127" s="194" t="s">
        <v>407</v>
      </c>
      <c r="F127" s="131" t="s">
        <v>59</v>
      </c>
      <c r="K127" s="194" t="s">
        <v>99</v>
      </c>
      <c r="L127" s="195">
        <v>60000000000</v>
      </c>
      <c r="M127" s="196" t="s">
        <v>141</v>
      </c>
      <c r="N127" s="196" t="s">
        <v>59</v>
      </c>
      <c r="O127" s="194" t="s">
        <v>238</v>
      </c>
      <c r="P127" s="131">
        <v>38518143.300000004</v>
      </c>
    </row>
    <row r="128" spans="1:16" ht="16.899999999999999" customHeight="1">
      <c r="A128" s="194" t="s">
        <v>99</v>
      </c>
      <c r="B128" s="195">
        <v>100000000000</v>
      </c>
      <c r="C128" s="196" t="s">
        <v>85</v>
      </c>
      <c r="D128" s="196" t="s">
        <v>85</v>
      </c>
      <c r="E128" s="194" t="s">
        <v>408</v>
      </c>
      <c r="F128" s="131">
        <v>17362560.600000001</v>
      </c>
      <c r="K128" s="194" t="s">
        <v>99</v>
      </c>
      <c r="L128" s="195">
        <v>80000000000</v>
      </c>
      <c r="M128" s="196" t="s">
        <v>86</v>
      </c>
      <c r="N128" s="196" t="s">
        <v>59</v>
      </c>
      <c r="O128" s="194" t="s">
        <v>239</v>
      </c>
      <c r="P128" s="131">
        <v>30494475.000000007</v>
      </c>
    </row>
    <row r="129" spans="1:16" ht="16.899999999999999" customHeight="1">
      <c r="A129" s="194" t="s">
        <v>99</v>
      </c>
      <c r="B129" s="195">
        <v>100000000000</v>
      </c>
      <c r="C129" s="196" t="s">
        <v>140</v>
      </c>
      <c r="D129" s="196" t="s">
        <v>140</v>
      </c>
      <c r="E129" s="194" t="s">
        <v>409</v>
      </c>
      <c r="F129" s="131">
        <v>25358850.000000004</v>
      </c>
      <c r="K129" s="194" t="s">
        <v>99</v>
      </c>
      <c r="L129" s="195">
        <v>80000000000</v>
      </c>
      <c r="M129" s="196" t="s">
        <v>141</v>
      </c>
      <c r="N129" s="196" t="s">
        <v>59</v>
      </c>
      <c r="O129" s="194" t="s">
        <v>240</v>
      </c>
      <c r="P129" s="131">
        <v>40545414.000000007</v>
      </c>
    </row>
    <row r="130" spans="1:16" ht="16.899999999999999" customHeight="1">
      <c r="A130" s="194" t="s">
        <v>99</v>
      </c>
      <c r="B130" s="195">
        <v>100000000000</v>
      </c>
      <c r="C130" s="196" t="s">
        <v>86</v>
      </c>
      <c r="D130" s="196" t="s">
        <v>86</v>
      </c>
      <c r="E130" s="194" t="s">
        <v>410</v>
      </c>
      <c r="F130" s="131">
        <v>32967000.000000007</v>
      </c>
      <c r="K130" s="194" t="s">
        <v>99</v>
      </c>
      <c r="L130" s="195">
        <v>100000000000</v>
      </c>
      <c r="M130" s="196" t="s">
        <v>86</v>
      </c>
      <c r="N130" s="196" t="s">
        <v>59</v>
      </c>
      <c r="O130" s="194" t="s">
        <v>241</v>
      </c>
      <c r="P130" s="131">
        <v>32967000.000000007</v>
      </c>
    </row>
    <row r="131" spans="1:16" ht="16.899999999999999" customHeight="1">
      <c r="A131" s="194" t="s">
        <v>99</v>
      </c>
      <c r="B131" s="195">
        <v>100000000000</v>
      </c>
      <c r="C131" s="196" t="s">
        <v>141</v>
      </c>
      <c r="D131" s="196" t="s">
        <v>141</v>
      </c>
      <c r="E131" s="194" t="s">
        <v>411</v>
      </c>
      <c r="F131" s="131">
        <v>41585040.000000007</v>
      </c>
      <c r="K131" s="194" t="s">
        <v>99</v>
      </c>
      <c r="L131" s="195">
        <v>100000000000</v>
      </c>
      <c r="M131" s="196" t="s">
        <v>141</v>
      </c>
      <c r="N131" s="196" t="s">
        <v>59</v>
      </c>
      <c r="O131" s="194" t="s">
        <v>242</v>
      </c>
      <c r="P131" s="131">
        <v>41585040.000000007</v>
      </c>
    </row>
    <row r="132" spans="1:16" ht="16.899999999999999" customHeight="1">
      <c r="E132" s="194" t="s">
        <v>153</v>
      </c>
      <c r="F132" s="131">
        <v>6514372.7999999998</v>
      </c>
    </row>
    <row r="133" spans="1:16" ht="16.899999999999999" customHeight="1">
      <c r="E133" s="194" t="s">
        <v>154</v>
      </c>
      <c r="F133" s="131">
        <v>11314934.956771875</v>
      </c>
    </row>
    <row r="134" spans="1:16" ht="16.899999999999999" customHeight="1">
      <c r="E134" s="194" t="s">
        <v>155</v>
      </c>
      <c r="F134" s="131">
        <v>17333143.953125</v>
      </c>
    </row>
    <row r="135" spans="1:16" ht="16.899999999999999" customHeight="1">
      <c r="E135" s="194" t="s">
        <v>156</v>
      </c>
      <c r="F135" s="131">
        <v>7238192</v>
      </c>
    </row>
    <row r="136" spans="1:16" ht="16.899999999999999" customHeight="1">
      <c r="E136" s="194" t="s">
        <v>157</v>
      </c>
      <c r="F136" s="131">
        <v>13311688.1844375</v>
      </c>
    </row>
    <row r="137" spans="1:16" ht="16.899999999999999" customHeight="1">
      <c r="E137" s="194" t="s">
        <v>158</v>
      </c>
      <c r="F137" s="131">
        <v>20391934.0625</v>
      </c>
    </row>
    <row r="138" spans="1:16" ht="16.899999999999999" customHeight="1">
      <c r="E138" s="194" t="s">
        <v>159</v>
      </c>
      <c r="F138" s="131">
        <v>7867600</v>
      </c>
    </row>
    <row r="139" spans="1:16" ht="16.899999999999999" customHeight="1">
      <c r="E139" s="194" t="s">
        <v>160</v>
      </c>
      <c r="F139" s="131">
        <v>15660809.62875</v>
      </c>
    </row>
    <row r="140" spans="1:16" ht="16.899999999999999" customHeight="1">
      <c r="E140" s="194" t="s">
        <v>161</v>
      </c>
      <c r="F140" s="131">
        <v>21465193.75</v>
      </c>
    </row>
    <row r="141" spans="1:16" ht="16.899999999999999" customHeight="1">
      <c r="E141" s="194" t="s">
        <v>162</v>
      </c>
      <c r="F141" s="131">
        <v>8840000</v>
      </c>
    </row>
    <row r="142" spans="1:16" ht="16.899999999999999" customHeight="1">
      <c r="E142" s="194" t="s">
        <v>163</v>
      </c>
      <c r="F142" s="131">
        <v>17084519.594999999</v>
      </c>
    </row>
    <row r="143" spans="1:16" ht="16.899999999999999" customHeight="1">
      <c r="E143" s="194" t="s">
        <v>164</v>
      </c>
      <c r="F143" s="131">
        <v>23416575</v>
      </c>
    </row>
    <row r="144" spans="1:16" ht="16.899999999999999" customHeight="1">
      <c r="E144" s="194" t="s">
        <v>165</v>
      </c>
      <c r="F144" s="131" t="s">
        <v>59</v>
      </c>
    </row>
    <row r="145" spans="5:6" ht="16.899999999999999" customHeight="1">
      <c r="E145" s="194" t="s">
        <v>166</v>
      </c>
      <c r="F145" s="131">
        <v>17552588.625</v>
      </c>
    </row>
    <row r="146" spans="5:6" ht="16.899999999999999" customHeight="1">
      <c r="E146" s="194" t="s">
        <v>167</v>
      </c>
      <c r="F146" s="131">
        <v>27019125</v>
      </c>
    </row>
    <row r="147" spans="5:6" ht="16.899999999999999" customHeight="1">
      <c r="E147" s="194" t="s">
        <v>168</v>
      </c>
      <c r="F147" s="131" t="s">
        <v>59</v>
      </c>
    </row>
    <row r="148" spans="5:6" ht="16.899999999999999" customHeight="1">
      <c r="E148" s="194" t="s">
        <v>169</v>
      </c>
      <c r="F148" s="131">
        <v>20002950</v>
      </c>
    </row>
    <row r="149" spans="5:6" ht="16.899999999999999" customHeight="1">
      <c r="E149" s="194" t="s">
        <v>170</v>
      </c>
      <c r="F149" s="131">
        <v>29609999.999999996</v>
      </c>
    </row>
    <row r="150" spans="5:6" ht="16.899999999999999" customHeight="1">
      <c r="E150" s="194" t="s">
        <v>171</v>
      </c>
      <c r="F150" s="131">
        <v>7035522.6240000008</v>
      </c>
    </row>
    <row r="151" spans="5:6" ht="16.899999999999999" customHeight="1">
      <c r="E151" s="194" t="s">
        <v>172</v>
      </c>
      <c r="F151" s="131">
        <v>12276704.428097483</v>
      </c>
    </row>
    <row r="152" spans="5:6" ht="16.899999999999999" customHeight="1">
      <c r="E152" s="194" t="s">
        <v>173</v>
      </c>
      <c r="F152" s="131">
        <v>18893126.908906251</v>
      </c>
    </row>
    <row r="153" spans="5:6" ht="16.899999999999999" customHeight="1">
      <c r="E153" s="194" t="s">
        <v>174</v>
      </c>
      <c r="F153" s="131">
        <v>7817247.3600000003</v>
      </c>
    </row>
    <row r="154" spans="5:6" ht="16.899999999999999" customHeight="1">
      <c r="E154" s="194" t="s">
        <v>175</v>
      </c>
      <c r="F154" s="131">
        <v>14443181.680114686</v>
      </c>
    </row>
    <row r="155" spans="5:6" ht="16.899999999999999" customHeight="1">
      <c r="E155" s="194" t="s">
        <v>176</v>
      </c>
      <c r="F155" s="131">
        <v>22227208.128125001</v>
      </c>
    </row>
    <row r="156" spans="5:6" ht="16.899999999999999" customHeight="1">
      <c r="E156" s="194" t="s">
        <v>177</v>
      </c>
      <c r="F156" s="131">
        <v>8497008</v>
      </c>
    </row>
    <row r="157" spans="5:6" ht="16.899999999999999" customHeight="1">
      <c r="E157" s="194" t="s">
        <v>178</v>
      </c>
      <c r="F157" s="131">
        <v>16991978.447193749</v>
      </c>
    </row>
    <row r="158" spans="5:6" ht="16.899999999999999" customHeight="1">
      <c r="E158" s="194" t="s">
        <v>179</v>
      </c>
      <c r="F158" s="131">
        <v>23397061.1875</v>
      </c>
    </row>
    <row r="159" spans="5:6" ht="16.899999999999999" customHeight="1">
      <c r="E159" s="194" t="s">
        <v>180</v>
      </c>
      <c r="F159" s="131">
        <v>9547200.0000000019</v>
      </c>
    </row>
    <row r="160" spans="5:6" ht="16.899999999999999" customHeight="1">
      <c r="E160" s="194" t="s">
        <v>181</v>
      </c>
      <c r="F160" s="131">
        <v>18536703.760575</v>
      </c>
    </row>
    <row r="161" spans="5:6" ht="16.899999999999999" customHeight="1">
      <c r="E161" s="194" t="s">
        <v>182</v>
      </c>
      <c r="F161" s="131">
        <v>25524066.75</v>
      </c>
    </row>
    <row r="162" spans="5:6" ht="16.899999999999999" customHeight="1">
      <c r="E162" s="194" t="s">
        <v>183</v>
      </c>
      <c r="F162" s="131" t="s">
        <v>59</v>
      </c>
    </row>
    <row r="163" spans="5:6" ht="16.899999999999999" customHeight="1">
      <c r="E163" s="194" t="s">
        <v>184</v>
      </c>
      <c r="F163" s="131">
        <v>19044558.658124998</v>
      </c>
    </row>
    <row r="164" spans="5:6" ht="16.899999999999999" customHeight="1">
      <c r="E164" s="194" t="s">
        <v>185</v>
      </c>
      <c r="F164" s="131">
        <v>29450846.249999996</v>
      </c>
    </row>
    <row r="165" spans="5:6" ht="16.899999999999999" customHeight="1">
      <c r="E165" s="194" t="s">
        <v>186</v>
      </c>
      <c r="F165" s="131" t="s">
        <v>59</v>
      </c>
    </row>
    <row r="166" spans="5:6" ht="16.899999999999999" customHeight="1">
      <c r="E166" s="194" t="s">
        <v>187</v>
      </c>
      <c r="F166" s="131">
        <v>21703200.75</v>
      </c>
    </row>
    <row r="167" spans="5:6" ht="16.899999999999999" customHeight="1">
      <c r="E167" s="194" t="s">
        <v>188</v>
      </c>
      <c r="F167" s="131">
        <v>32274899.999999996</v>
      </c>
    </row>
    <row r="168" spans="5:6" ht="16.899999999999999" customHeight="1">
      <c r="E168" s="194" t="s">
        <v>189</v>
      </c>
      <c r="F168" s="131">
        <v>7387298.7552000014</v>
      </c>
    </row>
    <row r="169" spans="5:6" ht="16.899999999999999" customHeight="1">
      <c r="E169" s="194" t="s">
        <v>190</v>
      </c>
      <c r="F169" s="131">
        <v>13258840.782345282</v>
      </c>
    </row>
    <row r="170" spans="5:6" ht="16.899999999999999" customHeight="1">
      <c r="E170" s="194" t="s">
        <v>191</v>
      </c>
      <c r="F170" s="131">
        <v>20782439.599796876</v>
      </c>
    </row>
    <row r="171" spans="5:6" ht="16.899999999999999" customHeight="1">
      <c r="E171" s="194" t="s">
        <v>192</v>
      </c>
      <c r="F171" s="131">
        <v>8208109.7280000011</v>
      </c>
    </row>
    <row r="172" spans="5:6" ht="16.899999999999999" customHeight="1">
      <c r="E172" s="194" t="s">
        <v>193</v>
      </c>
      <c r="F172" s="131">
        <v>15598636.214523861</v>
      </c>
    </row>
    <row r="173" spans="5:6" ht="16.899999999999999" customHeight="1">
      <c r="E173" s="194" t="s">
        <v>194</v>
      </c>
      <c r="F173" s="131">
        <v>24449928.940937504</v>
      </c>
    </row>
    <row r="174" spans="5:6" ht="16.899999999999999" customHeight="1">
      <c r="E174" s="194" t="s">
        <v>195</v>
      </c>
      <c r="F174" s="131">
        <v>8921858.4000000004</v>
      </c>
    </row>
    <row r="175" spans="5:6" ht="16.899999999999999" customHeight="1">
      <c r="E175" s="194" t="s">
        <v>196</v>
      </c>
      <c r="F175" s="131">
        <v>18351336.722969253</v>
      </c>
    </row>
    <row r="176" spans="5:6" ht="16.899999999999999" customHeight="1">
      <c r="E176" s="194" t="s">
        <v>197</v>
      </c>
      <c r="F176" s="131">
        <v>25736767.306250002</v>
      </c>
    </row>
    <row r="177" spans="5:6" ht="16.899999999999999" customHeight="1">
      <c r="E177" s="194" t="s">
        <v>198</v>
      </c>
      <c r="F177" s="131">
        <v>10024560.000000002</v>
      </c>
    </row>
    <row r="178" spans="5:6" ht="16.899999999999999" customHeight="1">
      <c r="E178" s="194" t="s">
        <v>199</v>
      </c>
      <c r="F178" s="131">
        <v>20019640.061420999</v>
      </c>
    </row>
    <row r="179" spans="5:6" ht="16.899999999999999" customHeight="1">
      <c r="E179" s="194" t="s">
        <v>200</v>
      </c>
      <c r="F179" s="131">
        <v>28076473.424999997</v>
      </c>
    </row>
    <row r="180" spans="5:6" ht="16.899999999999999" customHeight="1">
      <c r="E180" s="194" t="s">
        <v>201</v>
      </c>
      <c r="F180" s="131" t="s">
        <v>59</v>
      </c>
    </row>
    <row r="181" spans="5:6" ht="16.899999999999999" customHeight="1">
      <c r="E181" s="194" t="s">
        <v>202</v>
      </c>
      <c r="F181" s="131">
        <v>20568123.350775</v>
      </c>
    </row>
    <row r="182" spans="5:6" ht="16.899999999999999" customHeight="1">
      <c r="E182" s="194" t="s">
        <v>203</v>
      </c>
      <c r="F182" s="131">
        <v>32395930.875000004</v>
      </c>
    </row>
    <row r="183" spans="5:6" ht="16.899999999999999" customHeight="1">
      <c r="E183" s="194" t="s">
        <v>204</v>
      </c>
      <c r="F183" s="131" t="s">
        <v>59</v>
      </c>
    </row>
    <row r="184" spans="5:6" ht="16.899999999999999" customHeight="1">
      <c r="E184" s="194" t="s">
        <v>205</v>
      </c>
      <c r="F184" s="131">
        <v>23439456.810000002</v>
      </c>
    </row>
    <row r="185" spans="5:6" ht="16.899999999999999" customHeight="1">
      <c r="E185" s="194" t="s">
        <v>206</v>
      </c>
      <c r="F185" s="131">
        <v>35502390</v>
      </c>
    </row>
    <row r="186" spans="5:6" ht="16.899999999999999" customHeight="1">
      <c r="E186" s="194" t="s">
        <v>207</v>
      </c>
      <c r="F186" s="131">
        <v>14146776.5625</v>
      </c>
    </row>
    <row r="187" spans="5:6" ht="16.899999999999999" customHeight="1">
      <c r="E187" s="194" t="s">
        <v>208</v>
      </c>
      <c r="F187" s="131">
        <v>21145940.15625</v>
      </c>
    </row>
    <row r="188" spans="5:6" ht="16.899999999999999" customHeight="1">
      <c r="E188" s="194" t="s">
        <v>209</v>
      </c>
      <c r="F188" s="131">
        <v>18862368.75</v>
      </c>
    </row>
    <row r="189" spans="5:6" ht="16.899999999999999" customHeight="1">
      <c r="E189" s="194" t="s">
        <v>210</v>
      </c>
      <c r="F189" s="131">
        <v>28194586.875</v>
      </c>
    </row>
    <row r="190" spans="5:6" ht="16.899999999999999" customHeight="1">
      <c r="E190" s="194" t="s">
        <v>211</v>
      </c>
      <c r="F190" s="131">
        <v>19855125</v>
      </c>
    </row>
    <row r="191" spans="5:6" ht="16.899999999999999" customHeight="1">
      <c r="E191" s="194" t="s">
        <v>212</v>
      </c>
      <c r="F191" s="131">
        <v>28917525</v>
      </c>
    </row>
    <row r="192" spans="5:6" ht="16.899999999999999" customHeight="1">
      <c r="E192" s="194" t="s">
        <v>213</v>
      </c>
      <c r="F192" s="131">
        <v>22061250</v>
      </c>
    </row>
    <row r="193" spans="5:6" ht="16.899999999999999" customHeight="1">
      <c r="E193" s="194" t="s">
        <v>214</v>
      </c>
      <c r="F193" s="131">
        <v>30983062.5</v>
      </c>
    </row>
    <row r="194" spans="5:6" ht="16.899999999999999" customHeight="1">
      <c r="E194" s="194" t="s">
        <v>215</v>
      </c>
      <c r="F194" s="131">
        <v>24975000</v>
      </c>
    </row>
    <row r="195" spans="5:6" ht="16.899999999999999" customHeight="1">
      <c r="E195" s="194" t="s">
        <v>216</v>
      </c>
      <c r="F195" s="131">
        <v>32613750</v>
      </c>
    </row>
    <row r="196" spans="5:6" ht="16.899999999999999" customHeight="1">
      <c r="E196" s="194" t="s">
        <v>217</v>
      </c>
      <c r="F196" s="131">
        <v>27000000</v>
      </c>
    </row>
    <row r="197" spans="5:6" ht="16.899999999999999" customHeight="1">
      <c r="E197" s="194" t="s">
        <v>218</v>
      </c>
      <c r="F197" s="131">
        <v>33450000</v>
      </c>
    </row>
    <row r="198" spans="5:6" ht="16.899999999999999" customHeight="1">
      <c r="E198" s="194" t="s">
        <v>219</v>
      </c>
      <c r="F198" s="131">
        <v>15561454.218750002</v>
      </c>
    </row>
    <row r="199" spans="5:6" ht="16.899999999999999" customHeight="1">
      <c r="E199" s="194" t="s">
        <v>220</v>
      </c>
      <c r="F199" s="131">
        <v>23471993.573437501</v>
      </c>
    </row>
    <row r="200" spans="5:6" ht="16.899999999999999" customHeight="1">
      <c r="E200" s="194" t="s">
        <v>221</v>
      </c>
      <c r="F200" s="131">
        <v>20748605.625</v>
      </c>
    </row>
    <row r="201" spans="5:6" ht="16.899999999999999" customHeight="1">
      <c r="E201" s="194" t="s">
        <v>222</v>
      </c>
      <c r="F201" s="131">
        <v>31295991.431250002</v>
      </c>
    </row>
    <row r="202" spans="5:6" ht="16.899999999999999" customHeight="1">
      <c r="E202" s="194" t="s">
        <v>223</v>
      </c>
      <c r="F202" s="131">
        <v>21840637.5</v>
      </c>
    </row>
    <row r="203" spans="5:6" ht="16.899999999999999" customHeight="1">
      <c r="E203" s="194" t="s">
        <v>224</v>
      </c>
      <c r="F203" s="131">
        <v>32098452.750000004</v>
      </c>
    </row>
    <row r="204" spans="5:6" ht="16.899999999999999" customHeight="1">
      <c r="E204" s="194" t="s">
        <v>225</v>
      </c>
      <c r="F204" s="131">
        <v>24267375.000000004</v>
      </c>
    </row>
    <row r="205" spans="5:6" ht="16.899999999999999" customHeight="1">
      <c r="E205" s="194" t="s">
        <v>226</v>
      </c>
      <c r="F205" s="131">
        <v>34391199.375</v>
      </c>
    </row>
    <row r="206" spans="5:6" ht="16.899999999999999" customHeight="1">
      <c r="E206" s="194" t="s">
        <v>227</v>
      </c>
      <c r="F206" s="131">
        <v>27472500.000000004</v>
      </c>
    </row>
    <row r="207" spans="5:6" ht="16.899999999999999" customHeight="1">
      <c r="E207" s="194" t="s">
        <v>228</v>
      </c>
      <c r="F207" s="131">
        <v>36201262.5</v>
      </c>
    </row>
    <row r="208" spans="5:6" ht="16.899999999999999" customHeight="1">
      <c r="E208" s="194" t="s">
        <v>229</v>
      </c>
      <c r="F208" s="131">
        <v>29700000.000000004</v>
      </c>
    </row>
    <row r="209" spans="5:6" ht="16.899999999999999" customHeight="1">
      <c r="E209" s="194" t="s">
        <v>230</v>
      </c>
      <c r="F209" s="131">
        <v>37129500</v>
      </c>
    </row>
    <row r="210" spans="5:6" ht="16.899999999999999" customHeight="1">
      <c r="E210" s="194" t="s">
        <v>231</v>
      </c>
      <c r="F210" s="131">
        <v>17273214.182812504</v>
      </c>
    </row>
    <row r="211" spans="5:6" ht="16.899999999999999" customHeight="1">
      <c r="E211" s="194" t="s">
        <v>232</v>
      </c>
      <c r="F211" s="131">
        <v>26288632.802250002</v>
      </c>
    </row>
    <row r="212" spans="5:6" ht="16.899999999999999" customHeight="1">
      <c r="E212" s="194" t="s">
        <v>233</v>
      </c>
      <c r="F212" s="131">
        <v>23030952.243750002</v>
      </c>
    </row>
    <row r="213" spans="5:6" ht="16.899999999999999" customHeight="1">
      <c r="E213" s="194" t="s">
        <v>234</v>
      </c>
      <c r="F213" s="131">
        <v>35051510.403000005</v>
      </c>
    </row>
    <row r="214" spans="5:6" ht="16.899999999999999" customHeight="1">
      <c r="E214" s="194" t="s">
        <v>235</v>
      </c>
      <c r="F214" s="131">
        <v>24243107.625000004</v>
      </c>
    </row>
    <row r="215" spans="5:6" ht="16.899999999999999" customHeight="1">
      <c r="E215" s="194" t="s">
        <v>236</v>
      </c>
      <c r="F215" s="131">
        <v>35950267.080000006</v>
      </c>
    </row>
    <row r="216" spans="5:6" ht="16.899999999999999" customHeight="1">
      <c r="E216" s="194" t="s">
        <v>237</v>
      </c>
      <c r="F216" s="131">
        <v>26936786.250000007</v>
      </c>
    </row>
    <row r="217" spans="5:6" ht="16.899999999999999" customHeight="1">
      <c r="E217" s="194" t="s">
        <v>238</v>
      </c>
      <c r="F217" s="131">
        <v>38518143.300000004</v>
      </c>
    </row>
    <row r="218" spans="5:6" ht="16.899999999999999" customHeight="1">
      <c r="E218" s="194" t="s">
        <v>239</v>
      </c>
      <c r="F218" s="131">
        <v>30494475.000000007</v>
      </c>
    </row>
    <row r="219" spans="5:6" ht="16.899999999999999" customHeight="1">
      <c r="E219" s="194" t="s">
        <v>240</v>
      </c>
      <c r="F219" s="131">
        <v>40545414.000000007</v>
      </c>
    </row>
    <row r="220" spans="5:6" ht="16.899999999999999" customHeight="1">
      <c r="E220" s="194" t="s">
        <v>241</v>
      </c>
      <c r="F220" s="131">
        <v>32967000.000000007</v>
      </c>
    </row>
    <row r="221" spans="5:6" ht="16.899999999999999" customHeight="1">
      <c r="E221" s="194" t="s">
        <v>242</v>
      </c>
      <c r="F221" s="131">
        <v>41585040.000000007</v>
      </c>
    </row>
  </sheetData>
  <mergeCells count="10">
    <mergeCell ref="P18:V18"/>
    <mergeCell ref="A26:A32"/>
    <mergeCell ref="I26:I32"/>
    <mergeCell ref="B3:G4"/>
    <mergeCell ref="I5:M5"/>
    <mergeCell ref="C6:G6"/>
    <mergeCell ref="A7:A13"/>
    <mergeCell ref="I7:I13"/>
    <mergeCell ref="A17:A23"/>
    <mergeCell ref="I17:I23"/>
  </mergeCells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C14E-A03E-4720-8873-D7E571CBEA42}">
  <sheetPr codeName="Hoja7"/>
  <dimension ref="A1:AI72"/>
  <sheetViews>
    <sheetView topLeftCell="A56" zoomScale="88" workbookViewId="0">
      <selection activeCell="F79" sqref="F79"/>
    </sheetView>
  </sheetViews>
  <sheetFormatPr defaultColWidth="11.5703125" defaultRowHeight="15"/>
  <cols>
    <col min="1" max="1" width="29.7109375" bestFit="1" customWidth="1"/>
    <col min="2" max="2" width="13.28515625" bestFit="1" customWidth="1"/>
    <col min="3" max="3" width="10.7109375" bestFit="1" customWidth="1"/>
    <col min="4" max="4" width="12.28515625" bestFit="1" customWidth="1"/>
    <col min="5" max="5" width="6.5703125" bestFit="1" customWidth="1"/>
    <col min="6" max="6" width="19.28515625" bestFit="1" customWidth="1"/>
    <col min="7" max="7" width="29.7109375" bestFit="1" customWidth="1"/>
    <col min="8" max="8" width="13.7109375" bestFit="1" customWidth="1"/>
    <col min="9" max="9" width="10.7109375" bestFit="1" customWidth="1"/>
    <col min="10" max="10" width="15.5703125" bestFit="1" customWidth="1"/>
    <col min="11" max="11" width="6.5703125" bestFit="1" customWidth="1"/>
    <col min="12" max="12" width="11.28515625" bestFit="1" customWidth="1"/>
    <col min="13" max="13" width="6.5703125" bestFit="1" customWidth="1"/>
    <col min="14" max="14" width="29.7109375" bestFit="1" customWidth="1"/>
    <col min="15" max="15" width="13.28515625" bestFit="1" customWidth="1"/>
    <col min="16" max="16" width="17.5703125" bestFit="1" customWidth="1"/>
    <col min="17" max="17" width="12.28515625" bestFit="1" customWidth="1"/>
    <col min="18" max="18" width="22.28515625" bestFit="1" customWidth="1"/>
    <col min="19" max="19" width="6.5703125" bestFit="1" customWidth="1"/>
    <col min="20" max="20" width="23.5703125" bestFit="1" customWidth="1"/>
    <col min="21" max="21" width="6.5703125" bestFit="1" customWidth="1"/>
    <col min="22" max="22" width="19.7109375" bestFit="1" customWidth="1"/>
    <col min="23" max="23" width="6.5703125" bestFit="1" customWidth="1"/>
    <col min="24" max="24" width="17.5703125" bestFit="1" customWidth="1"/>
    <col min="25" max="25" width="29.7109375" customWidth="1"/>
    <col min="26" max="26" width="22.5703125" bestFit="1" customWidth="1"/>
    <col min="27" max="27" width="10.7109375" bestFit="1" customWidth="1"/>
    <col min="28" max="28" width="20.5703125" bestFit="1" customWidth="1"/>
    <col min="29" max="29" width="6.5703125" bestFit="1" customWidth="1"/>
    <col min="30" max="30" width="29.7109375" bestFit="1" customWidth="1"/>
    <col min="31" max="31" width="13.28515625" bestFit="1" customWidth="1"/>
    <col min="32" max="32" width="10.7109375" bestFit="1" customWidth="1"/>
    <col min="33" max="33" width="12.28515625" bestFit="1" customWidth="1"/>
    <col min="34" max="34" width="6.5703125" bestFit="1" customWidth="1"/>
    <col min="35" max="35" width="5.28515625" bestFit="1" customWidth="1"/>
  </cols>
  <sheetData>
    <row r="1" spans="1:29" ht="42" customHeight="1" thickBot="1">
      <c r="A1" s="301" t="s">
        <v>108</v>
      </c>
      <c r="B1" s="302"/>
      <c r="C1" s="302"/>
      <c r="D1" s="302"/>
      <c r="E1" s="302"/>
      <c r="F1" s="119" t="s">
        <v>94</v>
      </c>
      <c r="G1" s="119" t="s">
        <v>109</v>
      </c>
      <c r="H1" t="s">
        <v>99</v>
      </c>
    </row>
    <row r="2" spans="1:29" ht="15.75" thickBot="1">
      <c r="A2" s="120"/>
      <c r="B2" s="120"/>
      <c r="C2" s="120"/>
      <c r="D2" s="120"/>
      <c r="E2" s="120"/>
    </row>
    <row r="3" spans="1:29" ht="15.75" thickBot="1">
      <c r="A3" s="308" t="s">
        <v>10</v>
      </c>
      <c r="B3" s="309"/>
      <c r="C3" s="309"/>
      <c r="D3" s="309"/>
      <c r="E3" s="309"/>
      <c r="V3" s="119"/>
      <c r="W3" s="119"/>
      <c r="X3" s="119"/>
      <c r="Y3" s="119"/>
      <c r="Z3" s="119"/>
      <c r="AA3" s="119"/>
    </row>
    <row r="4" spans="1:29" ht="120">
      <c r="A4" s="53"/>
      <c r="B4" s="121" t="s">
        <v>61</v>
      </c>
      <c r="C4" s="122" t="s">
        <v>11</v>
      </c>
      <c r="D4" s="121" t="s">
        <v>62</v>
      </c>
      <c r="E4" s="121" t="s">
        <v>63</v>
      </c>
      <c r="F4" s="123" t="s">
        <v>110</v>
      </c>
      <c r="G4" s="123" t="s">
        <v>63</v>
      </c>
      <c r="H4" s="123" t="s">
        <v>111</v>
      </c>
      <c r="I4" s="123" t="s">
        <v>63</v>
      </c>
      <c r="J4" s="123" t="s">
        <v>112</v>
      </c>
      <c r="K4" s="123" t="s">
        <v>63</v>
      </c>
      <c r="L4" s="123" t="s">
        <v>113</v>
      </c>
      <c r="M4" s="123" t="s">
        <v>63</v>
      </c>
      <c r="N4" s="124" t="s">
        <v>114</v>
      </c>
      <c r="O4" s="124" t="s">
        <v>63</v>
      </c>
      <c r="P4" s="124" t="s">
        <v>115</v>
      </c>
      <c r="Q4" s="124" t="s">
        <v>63</v>
      </c>
      <c r="R4" s="124" t="s">
        <v>116</v>
      </c>
      <c r="S4" s="124" t="s">
        <v>63</v>
      </c>
      <c r="T4" s="124" t="s">
        <v>117</v>
      </c>
      <c r="U4" s="124" t="s">
        <v>63</v>
      </c>
      <c r="V4" s="125" t="s">
        <v>118</v>
      </c>
      <c r="W4" s="125" t="s">
        <v>63</v>
      </c>
      <c r="X4" s="125" t="s">
        <v>119</v>
      </c>
      <c r="Y4" s="125" t="s">
        <v>63</v>
      </c>
      <c r="Z4" s="125" t="s">
        <v>120</v>
      </c>
      <c r="AA4" s="125" t="s">
        <v>63</v>
      </c>
      <c r="AB4" s="125" t="s">
        <v>121</v>
      </c>
      <c r="AC4" s="126" t="s">
        <v>63</v>
      </c>
    </row>
    <row r="5" spans="1:29">
      <c r="A5" s="58" t="s">
        <v>2</v>
      </c>
      <c r="B5" s="127">
        <v>500000000</v>
      </c>
      <c r="C5" s="128">
        <v>30000000</v>
      </c>
      <c r="D5" s="64">
        <v>4650000</v>
      </c>
      <c r="E5" s="129">
        <v>9300</v>
      </c>
      <c r="F5" s="130">
        <v>5115000</v>
      </c>
      <c r="G5" s="129">
        <v>10230</v>
      </c>
      <c r="H5" s="130">
        <v>5473050</v>
      </c>
      <c r="I5" s="129">
        <v>10946.1</v>
      </c>
      <c r="J5" s="130">
        <v>5746702.5</v>
      </c>
      <c r="K5" s="129">
        <v>11493.405000000001</v>
      </c>
      <c r="L5" s="130">
        <v>6034037.625</v>
      </c>
      <c r="M5" s="129">
        <v>12068.07525</v>
      </c>
      <c r="N5" s="131">
        <v>5473050</v>
      </c>
      <c r="O5" s="129">
        <v>10946.1</v>
      </c>
      <c r="P5" s="131">
        <v>5801433</v>
      </c>
      <c r="Q5" s="129">
        <v>11602.866</v>
      </c>
      <c r="R5" s="131">
        <v>5746703.9000000004</v>
      </c>
      <c r="S5" s="129">
        <v>11493.407800000001</v>
      </c>
      <c r="T5" s="131">
        <v>8447652.6749999989</v>
      </c>
      <c r="U5" s="129">
        <v>16895.305349999999</v>
      </c>
      <c r="V5" s="131">
        <v>6348738</v>
      </c>
      <c r="W5" s="129">
        <v>12697.475999999999</v>
      </c>
      <c r="X5" s="131">
        <v>6671647.9499999993</v>
      </c>
      <c r="Y5" s="129">
        <v>13343.295899999997</v>
      </c>
      <c r="Z5" s="131">
        <v>7183379.875</v>
      </c>
      <c r="AA5" s="129">
        <v>14366.759749999999</v>
      </c>
      <c r="AB5" s="131">
        <v>8701082.2552499995</v>
      </c>
      <c r="AC5" s="132">
        <v>17402.164510499999</v>
      </c>
    </row>
    <row r="6" spans="1:29">
      <c r="A6" s="58" t="s">
        <v>3</v>
      </c>
      <c r="B6" s="64">
        <v>1000000000</v>
      </c>
      <c r="C6" s="128">
        <v>50000000</v>
      </c>
      <c r="D6" s="64">
        <v>7866000</v>
      </c>
      <c r="E6" s="129">
        <v>7866</v>
      </c>
      <c r="F6" s="130">
        <v>8652600</v>
      </c>
      <c r="G6" s="129">
        <v>8652.6</v>
      </c>
      <c r="H6" s="130">
        <v>9258282</v>
      </c>
      <c r="I6" s="129">
        <v>9258.2819999999992</v>
      </c>
      <c r="J6" s="130">
        <v>9721196.0999999996</v>
      </c>
      <c r="K6" s="129">
        <v>9721.1960999999992</v>
      </c>
      <c r="L6" s="130">
        <v>10207255.904999999</v>
      </c>
      <c r="M6" s="129">
        <v>10207.255904999998</v>
      </c>
      <c r="N6" s="131">
        <v>9258282</v>
      </c>
      <c r="O6" s="129">
        <v>9258.2819999999992</v>
      </c>
      <c r="P6" s="131">
        <v>9813778.9199999999</v>
      </c>
      <c r="Q6" s="129">
        <v>9813.7789200000007</v>
      </c>
      <c r="R6" s="131">
        <v>9721197.5</v>
      </c>
      <c r="S6" s="129">
        <v>9721.1975000000002</v>
      </c>
      <c r="T6" s="131">
        <v>14290158.266999999</v>
      </c>
      <c r="U6" s="129">
        <v>14290.158266999999</v>
      </c>
      <c r="V6" s="131">
        <v>10739607.119999999</v>
      </c>
      <c r="W6" s="129">
        <v>10739.607119999999</v>
      </c>
      <c r="X6" s="131">
        <v>11285845.757999999</v>
      </c>
      <c r="Y6" s="129">
        <v>11285.845757999999</v>
      </c>
      <c r="Z6" s="131">
        <v>12151496.875</v>
      </c>
      <c r="AA6" s="129">
        <v>12151.496875000001</v>
      </c>
      <c r="AB6" s="131">
        <v>14718863.015009999</v>
      </c>
      <c r="AC6" s="132">
        <v>14718.863015009998</v>
      </c>
    </row>
    <row r="7" spans="1:29">
      <c r="A7" s="58" t="s">
        <v>4</v>
      </c>
      <c r="B7" s="64">
        <v>1500000000</v>
      </c>
      <c r="C7" s="128">
        <v>60000000</v>
      </c>
      <c r="D7" s="64">
        <v>11307000</v>
      </c>
      <c r="E7" s="129">
        <v>7538</v>
      </c>
      <c r="F7" s="130">
        <v>12437700.000000002</v>
      </c>
      <c r="G7" s="129">
        <v>8291.8000000000011</v>
      </c>
      <c r="H7" s="130">
        <v>13308339.000000002</v>
      </c>
      <c r="I7" s="129">
        <v>8872.2260000000006</v>
      </c>
      <c r="J7" s="130">
        <v>13973755.950000003</v>
      </c>
      <c r="K7" s="129">
        <v>9315.8373000000029</v>
      </c>
      <c r="L7" s="130">
        <v>14672443.747500004</v>
      </c>
      <c r="M7" s="129">
        <v>9781.6291650000039</v>
      </c>
      <c r="N7" s="131">
        <v>13308339.000000002</v>
      </c>
      <c r="O7" s="129">
        <v>8872.2260000000006</v>
      </c>
      <c r="P7" s="131">
        <v>14106839.340000004</v>
      </c>
      <c r="Q7" s="129">
        <v>9404.5595600000033</v>
      </c>
      <c r="R7" s="131">
        <v>13973757.350000003</v>
      </c>
      <c r="S7" s="129">
        <v>9315.8382333333357</v>
      </c>
      <c r="T7" s="131">
        <v>20541421.246500004</v>
      </c>
      <c r="U7" s="129">
        <v>13694.280831000004</v>
      </c>
      <c r="V7" s="131">
        <v>15437673.24</v>
      </c>
      <c r="W7" s="129">
        <v>10291.782160000001</v>
      </c>
      <c r="X7" s="131">
        <v>16222865.241000002</v>
      </c>
      <c r="Y7" s="129">
        <v>10815.243494</v>
      </c>
      <c r="Z7" s="131">
        <v>17467196.687500004</v>
      </c>
      <c r="AA7" s="129">
        <v>11644.79779166667</v>
      </c>
      <c r="AB7" s="131">
        <v>21157663.883895006</v>
      </c>
      <c r="AC7" s="132">
        <v>14105.109255930003</v>
      </c>
    </row>
    <row r="8" spans="1:29">
      <c r="A8" s="58" t="s">
        <v>122</v>
      </c>
      <c r="B8" s="64">
        <v>2000000000</v>
      </c>
      <c r="C8" s="128">
        <v>65000000</v>
      </c>
      <c r="D8" s="133">
        <v>15170000</v>
      </c>
      <c r="E8" s="129">
        <v>7585</v>
      </c>
      <c r="F8" s="130">
        <v>16687000.000000002</v>
      </c>
      <c r="G8" s="129">
        <v>8343.5</v>
      </c>
      <c r="H8" s="130">
        <v>17855090.000000004</v>
      </c>
      <c r="I8" s="129">
        <v>8927.5450000000019</v>
      </c>
      <c r="J8" s="130">
        <v>18747844.500000004</v>
      </c>
      <c r="K8" s="129">
        <v>9373.9222500000014</v>
      </c>
      <c r="L8" s="130">
        <v>19685236.725000005</v>
      </c>
      <c r="M8" s="129">
        <v>9842.6183625000031</v>
      </c>
      <c r="N8" s="131">
        <v>17855090.000000004</v>
      </c>
      <c r="O8" s="129">
        <v>8927.5450000000019</v>
      </c>
      <c r="P8" s="131">
        <v>18926395.400000006</v>
      </c>
      <c r="Q8" s="129">
        <v>9463.1977000000043</v>
      </c>
      <c r="R8" s="131">
        <v>18747845.900000002</v>
      </c>
      <c r="S8" s="129">
        <v>9373.9229500000001</v>
      </c>
      <c r="T8" s="131">
        <v>27559331.415000007</v>
      </c>
      <c r="U8" s="129">
        <v>13779.665707500002</v>
      </c>
      <c r="V8" s="131">
        <v>20711904.400000002</v>
      </c>
      <c r="W8" s="129">
        <v>10355.952200000002</v>
      </c>
      <c r="X8" s="131">
        <v>21765354.710000005</v>
      </c>
      <c r="Y8" s="129">
        <v>10882.677355000002</v>
      </c>
      <c r="Z8" s="131">
        <v>23434807.375000004</v>
      </c>
      <c r="AA8" s="129">
        <v>11717.403687500002</v>
      </c>
      <c r="AB8" s="131">
        <v>28386111.357450008</v>
      </c>
      <c r="AC8" s="132">
        <v>14193.055678725004</v>
      </c>
    </row>
    <row r="9" spans="1:29" ht="15.75" thickBot="1">
      <c r="A9" s="68" t="s">
        <v>123</v>
      </c>
      <c r="B9" s="134">
        <v>3000000000</v>
      </c>
      <c r="C9" s="135">
        <v>70000000</v>
      </c>
      <c r="D9" s="136">
        <v>22000000</v>
      </c>
      <c r="E9" s="137">
        <v>7333.333333333333</v>
      </c>
      <c r="F9" s="138">
        <v>24200000.000000004</v>
      </c>
      <c r="G9" s="137">
        <v>8066.6666666666679</v>
      </c>
      <c r="H9" s="138">
        <v>25894000.000000004</v>
      </c>
      <c r="I9" s="137">
        <v>8631.3333333333339</v>
      </c>
      <c r="J9" s="138">
        <v>27188700.000000004</v>
      </c>
      <c r="K9" s="137">
        <v>9062.9</v>
      </c>
      <c r="L9" s="138">
        <v>28548135.000000004</v>
      </c>
      <c r="M9" s="137">
        <v>9516.0450000000001</v>
      </c>
      <c r="N9" s="139">
        <v>25894000.000000004</v>
      </c>
      <c r="O9" s="137">
        <v>8631.3333333333339</v>
      </c>
      <c r="P9" s="139">
        <v>27447640.000000004</v>
      </c>
      <c r="Q9" s="137">
        <v>9149.213333333335</v>
      </c>
      <c r="R9" s="139">
        <v>27188701.400000002</v>
      </c>
      <c r="S9" s="137">
        <v>9062.9004666666679</v>
      </c>
      <c r="T9" s="139">
        <v>39967389</v>
      </c>
      <c r="U9" s="137">
        <v>13322.463</v>
      </c>
      <c r="V9" s="131">
        <v>30037040.000000004</v>
      </c>
      <c r="W9" s="129">
        <v>10012.346666666668</v>
      </c>
      <c r="X9" s="131">
        <v>31564786</v>
      </c>
      <c r="Y9" s="137">
        <v>10521.595333333333</v>
      </c>
      <c r="Z9" s="131">
        <v>33985876.75</v>
      </c>
      <c r="AA9" s="137">
        <v>11328.625583333333</v>
      </c>
      <c r="AB9" s="131">
        <v>41965758.450000003</v>
      </c>
      <c r="AC9" s="140">
        <v>13988.586150000001</v>
      </c>
    </row>
    <row r="10" spans="1:29">
      <c r="A10" s="141"/>
      <c r="B10" s="141"/>
      <c r="C10" s="142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</row>
    <row r="11" spans="1:29">
      <c r="A11" s="141" t="s">
        <v>124</v>
      </c>
      <c r="B11" s="141"/>
      <c r="C11" s="142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</row>
    <row r="12" spans="1:29" ht="120">
      <c r="A12" s="58"/>
      <c r="B12" s="144" t="s">
        <v>61</v>
      </c>
      <c r="C12" s="145" t="s">
        <v>11</v>
      </c>
      <c r="D12" s="144" t="s">
        <v>62</v>
      </c>
      <c r="E12" s="144" t="s">
        <v>63</v>
      </c>
      <c r="F12" s="146" t="s">
        <v>110</v>
      </c>
      <c r="G12" s="146" t="s">
        <v>63</v>
      </c>
      <c r="H12" s="147" t="s">
        <v>111</v>
      </c>
      <c r="I12" s="147" t="s">
        <v>63</v>
      </c>
      <c r="J12" s="147" t="s">
        <v>112</v>
      </c>
      <c r="K12" s="147" t="s">
        <v>63</v>
      </c>
      <c r="L12" s="147" t="s">
        <v>113</v>
      </c>
      <c r="M12" s="146" t="s">
        <v>63</v>
      </c>
      <c r="N12" s="148" t="s">
        <v>114</v>
      </c>
      <c r="O12" s="148" t="s">
        <v>63</v>
      </c>
      <c r="P12" s="149" t="s">
        <v>115</v>
      </c>
      <c r="Q12" s="149" t="s">
        <v>63</v>
      </c>
      <c r="R12" s="149" t="s">
        <v>116</v>
      </c>
      <c r="S12" s="149" t="s">
        <v>63</v>
      </c>
      <c r="T12" s="149" t="s">
        <v>117</v>
      </c>
      <c r="U12" s="148" t="s">
        <v>63</v>
      </c>
      <c r="V12" s="150" t="s">
        <v>118</v>
      </c>
      <c r="W12" s="150" t="s">
        <v>63</v>
      </c>
      <c r="X12" s="151" t="s">
        <v>119</v>
      </c>
      <c r="Y12" s="151" t="s">
        <v>63</v>
      </c>
      <c r="Z12" s="151" t="s">
        <v>120</v>
      </c>
      <c r="AA12" s="151" t="s">
        <v>63</v>
      </c>
      <c r="AB12" s="151" t="s">
        <v>121</v>
      </c>
      <c r="AC12" s="151" t="s">
        <v>63</v>
      </c>
    </row>
    <row r="13" spans="1:29">
      <c r="A13" s="58" t="s">
        <v>2</v>
      </c>
      <c r="B13" s="127">
        <v>1000000000</v>
      </c>
      <c r="C13" s="128">
        <v>30000000</v>
      </c>
      <c r="D13" s="64">
        <v>5347500</v>
      </c>
      <c r="E13" s="129">
        <v>10695</v>
      </c>
      <c r="F13" s="131">
        <v>5882250.0000000009</v>
      </c>
      <c r="G13" s="129">
        <v>11764.500000000002</v>
      </c>
      <c r="H13" s="131">
        <v>6294007.5000000009</v>
      </c>
      <c r="I13" s="129">
        <v>12588.015000000001</v>
      </c>
      <c r="J13" s="131">
        <v>6608707.8750000009</v>
      </c>
      <c r="K13" s="129">
        <v>13217.415750000002</v>
      </c>
      <c r="L13" s="131">
        <v>6939143.2687500017</v>
      </c>
      <c r="M13" s="129">
        <v>13878.286537500004</v>
      </c>
      <c r="N13" s="131">
        <v>6294007.5000000009</v>
      </c>
      <c r="O13" s="129">
        <v>12588.015000000001</v>
      </c>
      <c r="P13" s="131">
        <v>6671647.9500000011</v>
      </c>
      <c r="Q13" s="129">
        <v>13343.295900000001</v>
      </c>
      <c r="R13" s="131">
        <v>6608709.2750000013</v>
      </c>
      <c r="S13" s="129">
        <v>13217.418550000002</v>
      </c>
      <c r="T13" s="131">
        <v>9714800.5762500018</v>
      </c>
      <c r="U13" s="129">
        <v>19429.601152500003</v>
      </c>
      <c r="V13" s="131">
        <v>6671647.9500000011</v>
      </c>
      <c r="W13" s="129">
        <v>13343.295900000001</v>
      </c>
      <c r="X13" s="131">
        <v>7005230.3475000011</v>
      </c>
      <c r="Y13" s="129">
        <v>14010.460695000003</v>
      </c>
      <c r="Z13" s="131">
        <v>6806970.5532500017</v>
      </c>
      <c r="AA13" s="129">
        <v>13613.941106500004</v>
      </c>
      <c r="AB13" s="131">
        <v>10006244.593537502</v>
      </c>
      <c r="AC13" s="129">
        <v>20012.489187075003</v>
      </c>
    </row>
    <row r="14" spans="1:29">
      <c r="A14" s="58" t="s">
        <v>3</v>
      </c>
      <c r="B14" s="64">
        <v>2000000000</v>
      </c>
      <c r="C14" s="128">
        <v>50000000</v>
      </c>
      <c r="D14" s="64">
        <v>9045900</v>
      </c>
      <c r="E14" s="129">
        <v>9045.9000000000015</v>
      </c>
      <c r="F14" s="131">
        <v>9950490</v>
      </c>
      <c r="G14" s="129">
        <v>9950.49</v>
      </c>
      <c r="H14" s="131">
        <v>10647024.300000001</v>
      </c>
      <c r="I14" s="129">
        <v>10647.024300000001</v>
      </c>
      <c r="J14" s="131">
        <v>11179375.515000001</v>
      </c>
      <c r="K14" s="129">
        <v>11179.375515000002</v>
      </c>
      <c r="L14" s="131">
        <v>11738344.290750001</v>
      </c>
      <c r="M14" s="129">
        <v>11738.344290749999</v>
      </c>
      <c r="N14" s="131">
        <v>10647024.300000001</v>
      </c>
      <c r="O14" s="129">
        <v>10647.024300000001</v>
      </c>
      <c r="P14" s="131">
        <v>11285845.758000001</v>
      </c>
      <c r="Q14" s="129">
        <v>11285.845758000001</v>
      </c>
      <c r="R14" s="131">
        <v>11179376.915000001</v>
      </c>
      <c r="S14" s="129">
        <v>11179.376915000001</v>
      </c>
      <c r="T14" s="131">
        <v>16433682.00705</v>
      </c>
      <c r="U14" s="129">
        <v>16433.68200705</v>
      </c>
      <c r="V14" s="131">
        <v>11285845.758000001</v>
      </c>
      <c r="W14" s="129">
        <v>11285.845758000001</v>
      </c>
      <c r="X14" s="131">
        <v>11850138.045900002</v>
      </c>
      <c r="Y14" s="129">
        <v>11850.138045900003</v>
      </c>
      <c r="Z14" s="131">
        <v>11514758.222450001</v>
      </c>
      <c r="AA14" s="129">
        <v>11514.75822245</v>
      </c>
      <c r="AB14" s="131">
        <v>16926692.467261501</v>
      </c>
      <c r="AC14" s="129">
        <v>16926.692467261499</v>
      </c>
    </row>
    <row r="15" spans="1:29">
      <c r="A15" s="58" t="s">
        <v>4</v>
      </c>
      <c r="B15" s="64">
        <v>3000000000</v>
      </c>
      <c r="C15" s="128">
        <v>70000000</v>
      </c>
      <c r="D15" s="64">
        <v>13003049.999999998</v>
      </c>
      <c r="E15" s="129">
        <v>8668.6999999999971</v>
      </c>
      <c r="F15" s="131">
        <v>14303355</v>
      </c>
      <c r="G15" s="129">
        <v>9535.57</v>
      </c>
      <c r="H15" s="131">
        <v>15304589.850000001</v>
      </c>
      <c r="I15" s="129">
        <v>10203.0599</v>
      </c>
      <c r="J15" s="131">
        <v>16069819.342500003</v>
      </c>
      <c r="K15" s="129">
        <v>10713.212895000002</v>
      </c>
      <c r="L15" s="131">
        <v>16873310.309625003</v>
      </c>
      <c r="M15" s="129">
        <v>11248.873539750002</v>
      </c>
      <c r="N15" s="131">
        <v>15304589.850000001</v>
      </c>
      <c r="O15" s="129">
        <v>10203.0599</v>
      </c>
      <c r="P15" s="131">
        <v>16222865.241000002</v>
      </c>
      <c r="Q15" s="129">
        <v>10815.243494</v>
      </c>
      <c r="R15" s="131">
        <v>16069820.742500003</v>
      </c>
      <c r="S15" s="129">
        <v>10713.213828333335</v>
      </c>
      <c r="T15" s="131">
        <v>23622634.433475003</v>
      </c>
      <c r="U15" s="129">
        <v>15748.422955650001</v>
      </c>
      <c r="V15" s="131">
        <v>16222865.241000002</v>
      </c>
      <c r="W15" s="129">
        <v>10815.243494</v>
      </c>
      <c r="X15" s="131">
        <v>17034008.503050003</v>
      </c>
      <c r="Y15" s="129">
        <v>11356.005668700001</v>
      </c>
      <c r="Z15" s="131">
        <v>16551915.364775004</v>
      </c>
      <c r="AA15" s="129">
        <v>11034.610243183337</v>
      </c>
      <c r="AB15" s="131">
        <v>24331313.466479253</v>
      </c>
      <c r="AC15" s="129">
        <v>16220.875644319503</v>
      </c>
    </row>
    <row r="16" spans="1:29">
      <c r="A16" s="152"/>
      <c r="B16" s="141"/>
      <c r="C16" s="142"/>
      <c r="D16" s="143"/>
      <c r="E16" s="153"/>
      <c r="F16" s="154"/>
      <c r="G16" s="153"/>
      <c r="H16" s="154"/>
      <c r="I16" s="153"/>
      <c r="J16" s="154"/>
      <c r="K16" s="153"/>
      <c r="L16" s="154"/>
      <c r="M16" s="153"/>
      <c r="N16" s="154"/>
      <c r="O16" s="153"/>
      <c r="P16" s="154"/>
      <c r="Q16" s="153"/>
      <c r="R16" s="154"/>
      <c r="S16" s="153"/>
      <c r="T16" s="154"/>
      <c r="U16" s="153"/>
      <c r="V16" s="154"/>
      <c r="W16" s="153"/>
      <c r="X16" s="154"/>
      <c r="Y16" s="153"/>
      <c r="Z16" s="154"/>
      <c r="AA16" s="153"/>
      <c r="AB16" s="154"/>
      <c r="AC16" s="153"/>
    </row>
    <row r="17" spans="1:29">
      <c r="A17" s="152"/>
      <c r="B17" s="141"/>
      <c r="C17" s="142"/>
      <c r="D17" s="143"/>
      <c r="E17" s="153"/>
      <c r="F17" s="154"/>
      <c r="G17" s="153"/>
      <c r="H17" s="154"/>
      <c r="I17" s="153"/>
      <c r="J17" s="154"/>
      <c r="K17" s="153"/>
      <c r="L17" s="154"/>
      <c r="M17" s="153"/>
      <c r="N17" s="154"/>
      <c r="O17" s="153"/>
      <c r="P17" s="154"/>
      <c r="Q17" s="153"/>
      <c r="R17" s="154"/>
      <c r="S17" s="153"/>
      <c r="T17" s="154"/>
      <c r="U17" s="153"/>
      <c r="V17" s="154"/>
      <c r="W17" s="153"/>
      <c r="X17" s="154"/>
      <c r="Y17" s="153"/>
      <c r="Z17" s="154"/>
      <c r="AA17" s="153"/>
      <c r="AB17" s="154"/>
      <c r="AC17" s="153"/>
    </row>
    <row r="18" spans="1:29">
      <c r="A18" s="152"/>
      <c r="B18" s="141"/>
      <c r="C18" s="142"/>
      <c r="D18" s="143"/>
      <c r="E18" s="153"/>
      <c r="F18" s="154"/>
      <c r="G18" s="153"/>
      <c r="H18" s="154"/>
      <c r="I18" s="153"/>
      <c r="J18" s="154"/>
      <c r="K18" s="153"/>
      <c r="L18" s="154"/>
      <c r="M18" s="153"/>
      <c r="N18" s="154"/>
      <c r="O18" s="153"/>
      <c r="P18" s="154"/>
      <c r="Q18" s="153"/>
      <c r="R18" s="154"/>
      <c r="S18" s="153"/>
      <c r="T18" s="154"/>
      <c r="U18" s="153"/>
      <c r="V18" s="154"/>
      <c r="W18" s="153"/>
      <c r="X18" s="154"/>
      <c r="Y18" s="153"/>
      <c r="Z18" s="154"/>
      <c r="AA18" s="153"/>
      <c r="AB18" s="154"/>
      <c r="AC18" s="153"/>
    </row>
    <row r="19" spans="1:29">
      <c r="A19" s="152"/>
      <c r="B19" s="141"/>
      <c r="C19" s="142"/>
      <c r="D19" s="143"/>
      <c r="E19" s="153"/>
      <c r="F19" s="154"/>
      <c r="G19" s="153"/>
      <c r="H19" s="154"/>
      <c r="I19" s="153"/>
      <c r="J19" s="154"/>
      <c r="K19" s="153"/>
      <c r="L19" s="154"/>
      <c r="M19" s="153"/>
      <c r="N19" s="154"/>
      <c r="O19" s="153"/>
      <c r="P19" s="154"/>
      <c r="Q19" s="153"/>
      <c r="R19" s="154"/>
      <c r="S19" s="153"/>
      <c r="T19" s="154"/>
      <c r="U19" s="153"/>
      <c r="V19" s="154"/>
      <c r="W19" s="153"/>
      <c r="X19" s="154"/>
      <c r="Y19" s="153"/>
      <c r="Z19" s="154"/>
      <c r="AA19" s="153"/>
      <c r="AB19" s="154"/>
      <c r="AC19" s="153"/>
    </row>
    <row r="20" spans="1:29">
      <c r="A20" s="152"/>
      <c r="B20" s="141"/>
      <c r="C20" s="142"/>
      <c r="D20" s="143"/>
      <c r="E20" s="153"/>
      <c r="F20" s="154"/>
      <c r="G20" s="153"/>
      <c r="H20" s="154"/>
      <c r="I20" s="153"/>
      <c r="J20" s="154"/>
      <c r="K20" s="153"/>
      <c r="L20" s="154"/>
      <c r="M20" s="153"/>
      <c r="N20" s="154"/>
      <c r="O20" s="153"/>
      <c r="P20" s="154"/>
      <c r="Q20" s="153"/>
      <c r="R20" s="154"/>
      <c r="S20" s="153"/>
      <c r="T20" s="154"/>
      <c r="U20" s="153"/>
      <c r="V20" s="154"/>
      <c r="W20" s="153"/>
      <c r="X20" s="154"/>
      <c r="Y20" s="153"/>
      <c r="Z20" s="154"/>
      <c r="AA20" s="153"/>
      <c r="AB20" s="154"/>
      <c r="AC20" s="153"/>
    </row>
    <row r="21" spans="1:29">
      <c r="A21" s="152"/>
      <c r="B21" s="141"/>
      <c r="C21" s="142"/>
      <c r="D21" s="143"/>
      <c r="E21" s="153"/>
      <c r="F21" s="154"/>
      <c r="G21" s="153"/>
      <c r="H21" s="154"/>
      <c r="I21" s="153"/>
      <c r="J21" s="154"/>
      <c r="K21" s="153"/>
      <c r="L21" s="154"/>
      <c r="M21" s="153"/>
      <c r="N21" s="154"/>
      <c r="O21" s="153"/>
      <c r="P21" s="154"/>
      <c r="Q21" s="153"/>
      <c r="R21" s="154"/>
      <c r="S21" s="153"/>
      <c r="T21" s="154"/>
      <c r="U21" s="153"/>
      <c r="V21" s="154"/>
      <c r="W21" s="153"/>
      <c r="X21" s="154"/>
      <c r="Y21" s="153"/>
      <c r="Z21" s="154"/>
      <c r="AA21" s="153"/>
      <c r="AB21" s="154"/>
      <c r="AC21" s="153"/>
    </row>
    <row r="22" spans="1:29">
      <c r="A22" s="152"/>
      <c r="B22" s="141"/>
      <c r="C22" s="142"/>
      <c r="D22" s="143"/>
      <c r="E22" s="153"/>
      <c r="F22" s="154"/>
      <c r="G22" s="153"/>
      <c r="H22" s="154"/>
      <c r="I22" s="153"/>
      <c r="J22" s="154"/>
      <c r="K22" s="153"/>
      <c r="L22" s="154"/>
      <c r="M22" s="153"/>
      <c r="N22" s="154"/>
      <c r="O22" s="153"/>
      <c r="P22" s="154"/>
      <c r="Q22" s="153"/>
      <c r="R22" s="154"/>
      <c r="S22" s="153"/>
      <c r="T22" s="154"/>
      <c r="U22" s="153"/>
      <c r="V22" s="154"/>
      <c r="W22" s="153"/>
      <c r="X22" s="154"/>
      <c r="Y22" s="153"/>
      <c r="Z22" s="154"/>
      <c r="AA22" s="153"/>
      <c r="AB22" s="154"/>
      <c r="AC22" s="153"/>
    </row>
    <row r="23" spans="1:29" ht="15.75" thickBot="1">
      <c r="A23" s="120"/>
      <c r="B23" s="120"/>
      <c r="C23" s="120"/>
      <c r="D23" s="120"/>
      <c r="E23" s="120"/>
    </row>
    <row r="24" spans="1:29" ht="15.75" thickBot="1">
      <c r="A24" s="155"/>
      <c r="B24" s="155"/>
      <c r="C24" s="155"/>
      <c r="D24" s="155"/>
      <c r="E24" s="155"/>
    </row>
    <row r="25" spans="1:29" ht="15.75" thickBot="1">
      <c r="A25" s="156" t="s">
        <v>125</v>
      </c>
      <c r="B25" s="157">
        <v>1</v>
      </c>
      <c r="C25" s="157">
        <v>0.66666666666666674</v>
      </c>
      <c r="D25" s="157">
        <v>0.69161290322580649</v>
      </c>
      <c r="E25" s="157">
        <v>-0.15419354838709676</v>
      </c>
    </row>
    <row r="26" spans="1:29" ht="15.75" thickBot="1">
      <c r="A26" s="156" t="s">
        <v>126</v>
      </c>
      <c r="B26" s="157">
        <v>2</v>
      </c>
      <c r="C26" s="157">
        <v>1</v>
      </c>
      <c r="D26" s="157">
        <v>1.4316129032258065</v>
      </c>
      <c r="E26" s="157">
        <v>-0.18946236559139784</v>
      </c>
    </row>
    <row r="27" spans="1:29">
      <c r="A27" s="156" t="s">
        <v>127</v>
      </c>
      <c r="B27" s="157">
        <v>3</v>
      </c>
      <c r="C27" s="157">
        <v>1.1666666666666665</v>
      </c>
      <c r="D27" s="157">
        <v>2.2623655913978493</v>
      </c>
      <c r="E27" s="157">
        <v>-0.18440860215053767</v>
      </c>
    </row>
    <row r="29" spans="1:29" ht="15.75" thickBot="1"/>
    <row r="30" spans="1:29" ht="30.75" customHeight="1" thickBot="1">
      <c r="A30" s="301" t="s">
        <v>110</v>
      </c>
      <c r="B30" s="302"/>
      <c r="C30" s="302"/>
      <c r="D30" s="302"/>
      <c r="E30" s="302"/>
      <c r="G30" s="301" t="s">
        <v>128</v>
      </c>
      <c r="H30" s="302"/>
      <c r="I30" s="302"/>
      <c r="J30" s="302"/>
      <c r="K30" s="302"/>
    </row>
    <row r="31" spans="1:29" ht="15.75" thickBot="1">
      <c r="A31" s="120"/>
      <c r="B31" s="120"/>
      <c r="C31" s="120"/>
      <c r="D31" s="120"/>
      <c r="E31" s="120"/>
      <c r="G31" s="120"/>
      <c r="H31" s="120"/>
      <c r="I31" s="120"/>
      <c r="J31" s="120"/>
      <c r="K31" s="120"/>
    </row>
    <row r="32" spans="1:29">
      <c r="A32" s="295" t="s">
        <v>10</v>
      </c>
      <c r="B32" s="296"/>
      <c r="C32" s="296"/>
      <c r="D32" s="296"/>
      <c r="E32" s="296"/>
      <c r="G32" s="295" t="s">
        <v>10</v>
      </c>
      <c r="H32" s="296"/>
      <c r="I32" s="296"/>
      <c r="J32" s="296"/>
      <c r="K32" s="296"/>
    </row>
    <row r="33" spans="1:34" ht="30">
      <c r="A33" s="58"/>
      <c r="B33" s="158" t="s">
        <v>61</v>
      </c>
      <c r="C33" s="159" t="s">
        <v>11</v>
      </c>
      <c r="D33" s="158" t="s">
        <v>62</v>
      </c>
      <c r="E33" s="158" t="s">
        <v>63</v>
      </c>
      <c r="G33" s="58"/>
      <c r="H33" s="158" t="s">
        <v>61</v>
      </c>
      <c r="I33" s="159" t="s">
        <v>11</v>
      </c>
      <c r="J33" s="158" t="s">
        <v>62</v>
      </c>
      <c r="K33" s="158" t="s">
        <v>63</v>
      </c>
    </row>
    <row r="34" spans="1:34">
      <c r="A34" s="58" t="s">
        <v>2</v>
      </c>
      <c r="B34" s="127">
        <v>500000000</v>
      </c>
      <c r="C34" s="128">
        <v>30000000</v>
      </c>
      <c r="D34" s="64">
        <v>4650000</v>
      </c>
      <c r="E34" s="129">
        <v>9300</v>
      </c>
      <c r="G34" s="58" t="s">
        <v>2</v>
      </c>
      <c r="H34" s="127">
        <v>500000000</v>
      </c>
      <c r="I34" s="128">
        <v>50000000</v>
      </c>
      <c r="J34" s="64">
        <v>7990000</v>
      </c>
      <c r="K34" s="129">
        <v>15980.000000000002</v>
      </c>
      <c r="X34" s="160"/>
    </row>
    <row r="35" spans="1:34">
      <c r="A35" s="58" t="s">
        <v>3</v>
      </c>
      <c r="B35" s="64">
        <v>1000000000</v>
      </c>
      <c r="C35" s="128">
        <v>60000000</v>
      </c>
      <c r="D35" s="64">
        <v>7866000</v>
      </c>
      <c r="E35" s="129">
        <v>7866</v>
      </c>
      <c r="G35" s="58" t="s">
        <v>3</v>
      </c>
      <c r="H35" s="64">
        <v>1000000000</v>
      </c>
      <c r="I35" s="128">
        <v>60000000</v>
      </c>
      <c r="J35" s="64">
        <v>13798000</v>
      </c>
      <c r="K35" s="129">
        <v>13798</v>
      </c>
    </row>
    <row r="36" spans="1:34">
      <c r="A36" s="58" t="s">
        <v>4</v>
      </c>
      <c r="B36" s="141">
        <v>1500000000</v>
      </c>
      <c r="C36" s="142">
        <v>75000000</v>
      </c>
      <c r="D36" s="141">
        <v>11307000</v>
      </c>
      <c r="E36" s="129">
        <v>7538</v>
      </c>
      <c r="G36" s="58" t="s">
        <v>4</v>
      </c>
      <c r="H36" s="141">
        <v>1500000000</v>
      </c>
      <c r="I36" s="142">
        <v>75000000</v>
      </c>
      <c r="J36" s="141">
        <v>19835000</v>
      </c>
      <c r="K36" s="129">
        <v>13223.333333333334</v>
      </c>
    </row>
    <row r="37" spans="1:34">
      <c r="A37" s="58" t="s">
        <v>122</v>
      </c>
      <c r="B37" s="141">
        <v>2000000000</v>
      </c>
      <c r="C37" s="142">
        <v>90000000</v>
      </c>
      <c r="D37" s="143">
        <v>15170000</v>
      </c>
      <c r="E37" s="129">
        <v>7585</v>
      </c>
      <c r="G37" s="58" t="s">
        <v>4</v>
      </c>
      <c r="H37" s="141">
        <v>2000000000</v>
      </c>
      <c r="I37" s="142">
        <v>90000000</v>
      </c>
      <c r="J37" s="141">
        <v>26612000</v>
      </c>
      <c r="K37" s="129">
        <v>13306</v>
      </c>
    </row>
    <row r="38" spans="1:34" ht="15.75" thickBot="1">
      <c r="A38" s="120"/>
      <c r="B38" s="120"/>
      <c r="C38" s="120"/>
      <c r="D38" s="120"/>
      <c r="E38" s="120"/>
    </row>
    <row r="39" spans="1:34" ht="15.75" thickBot="1">
      <c r="A39" s="155"/>
      <c r="B39" s="155"/>
      <c r="C39" s="155"/>
      <c r="D39" s="155"/>
      <c r="E39" s="155"/>
      <c r="G39" s="155"/>
      <c r="H39" s="155"/>
      <c r="I39" s="155"/>
      <c r="J39" s="155"/>
      <c r="K39" s="155"/>
    </row>
    <row r="40" spans="1:34" ht="15.75" thickBot="1">
      <c r="A40" s="156" t="s">
        <v>125</v>
      </c>
      <c r="B40" s="157">
        <v>1</v>
      </c>
      <c r="C40" s="157">
        <v>1</v>
      </c>
      <c r="D40" s="157">
        <v>0.69161290322580649</v>
      </c>
      <c r="E40" s="157">
        <v>-0.15419354838709676</v>
      </c>
      <c r="G40" s="156" t="s">
        <v>125</v>
      </c>
      <c r="H40" s="157">
        <v>1</v>
      </c>
      <c r="I40" s="157">
        <v>0.19999999999999996</v>
      </c>
      <c r="J40" s="157">
        <v>0.72690863579474341</v>
      </c>
      <c r="K40" s="157">
        <v>-0.13654568210262841</v>
      </c>
    </row>
    <row r="41" spans="1:34" ht="15.75" thickBot="1">
      <c r="A41" s="156" t="s">
        <v>126</v>
      </c>
      <c r="B41" s="157">
        <v>2</v>
      </c>
      <c r="C41" s="157">
        <v>1.5</v>
      </c>
      <c r="D41" s="157">
        <v>1.4316129032258065</v>
      </c>
      <c r="E41" s="157">
        <v>-0.18946236559139784</v>
      </c>
      <c r="G41" s="156" t="s">
        <v>126</v>
      </c>
      <c r="H41" s="157">
        <v>2</v>
      </c>
      <c r="I41" s="157">
        <v>0.5</v>
      </c>
      <c r="J41" s="157">
        <v>1.4824780976220273</v>
      </c>
      <c r="K41" s="157">
        <v>-0.17250730079265753</v>
      </c>
    </row>
    <row r="42" spans="1:34">
      <c r="A42" s="156" t="s">
        <v>127</v>
      </c>
      <c r="B42" s="157">
        <v>3</v>
      </c>
      <c r="C42" s="157">
        <v>2</v>
      </c>
      <c r="D42" s="157">
        <v>2.2623655913978493</v>
      </c>
      <c r="E42" s="157">
        <v>-0.18440860215053767</v>
      </c>
      <c r="G42" s="156" t="s">
        <v>127</v>
      </c>
      <c r="H42" s="157">
        <v>3</v>
      </c>
      <c r="I42" s="157">
        <v>0.8</v>
      </c>
      <c r="J42" s="157">
        <v>2.3306633291614518</v>
      </c>
      <c r="K42" s="157">
        <v>-0.16733416770963716</v>
      </c>
    </row>
    <row r="44" spans="1:34" ht="15.75" thickBot="1">
      <c r="Y44" s="307" t="s">
        <v>129</v>
      </c>
      <c r="Z44" s="307"/>
      <c r="AA44" s="307"/>
      <c r="AB44" s="307"/>
      <c r="AC44" s="307"/>
      <c r="AD44" s="307" t="s">
        <v>130</v>
      </c>
      <c r="AE44" s="307"/>
      <c r="AF44" s="307"/>
      <c r="AG44" s="307"/>
      <c r="AH44" s="307"/>
    </row>
    <row r="45" spans="1:34" ht="39" customHeight="1" thickBot="1">
      <c r="A45" s="301" t="s">
        <v>111</v>
      </c>
      <c r="B45" s="302"/>
      <c r="C45" s="302"/>
      <c r="D45" s="302"/>
      <c r="E45" s="302"/>
      <c r="G45" s="303" t="s">
        <v>131</v>
      </c>
      <c r="H45" s="304"/>
      <c r="I45" s="304"/>
      <c r="J45" s="304"/>
      <c r="K45" s="304"/>
      <c r="N45" s="303" t="s">
        <v>132</v>
      </c>
      <c r="O45" s="304"/>
      <c r="P45" s="304"/>
      <c r="Q45" s="304"/>
      <c r="R45" s="304"/>
      <c r="Y45" s="305" t="s">
        <v>133</v>
      </c>
      <c r="Z45" s="306"/>
      <c r="AA45" s="306"/>
      <c r="AB45" s="306"/>
      <c r="AC45" s="306"/>
      <c r="AD45" s="301" t="s">
        <v>133</v>
      </c>
      <c r="AE45" s="302"/>
      <c r="AF45" s="302"/>
      <c r="AG45" s="302"/>
      <c r="AH45" s="302"/>
    </row>
    <row r="46" spans="1:34" ht="15.75" thickBot="1">
      <c r="G46" s="161"/>
      <c r="H46" s="161"/>
      <c r="I46" s="161"/>
      <c r="J46" s="161"/>
      <c r="K46" s="161"/>
      <c r="N46" s="161"/>
      <c r="O46" s="161"/>
      <c r="P46" s="161"/>
      <c r="Q46" s="161"/>
      <c r="R46" s="161"/>
      <c r="Y46" s="162"/>
      <c r="Z46" s="162"/>
      <c r="AA46" s="162"/>
      <c r="AB46" s="162"/>
      <c r="AC46" s="162"/>
    </row>
    <row r="47" spans="1:34" ht="15.75" customHeight="1">
      <c r="A47" s="295" t="s">
        <v>10</v>
      </c>
      <c r="B47" s="296"/>
      <c r="C47" s="296"/>
      <c r="D47" s="296"/>
      <c r="E47" s="296"/>
      <c r="G47" s="297" t="s">
        <v>10</v>
      </c>
      <c r="H47" s="298"/>
      <c r="I47" s="298"/>
      <c r="J47" s="298"/>
      <c r="K47" s="298"/>
      <c r="N47" s="297" t="s">
        <v>10</v>
      </c>
      <c r="O47" s="298"/>
      <c r="P47" s="298"/>
      <c r="Q47" s="298"/>
      <c r="R47" s="298"/>
      <c r="Y47" s="299" t="s">
        <v>10</v>
      </c>
      <c r="Z47" s="300"/>
      <c r="AA47" s="300"/>
      <c r="AB47" s="300"/>
      <c r="AC47" s="300"/>
      <c r="AD47" s="295" t="s">
        <v>10</v>
      </c>
      <c r="AE47" s="296"/>
      <c r="AF47" s="296"/>
      <c r="AG47" s="296"/>
      <c r="AH47" s="296"/>
    </row>
    <row r="48" spans="1:34" ht="30">
      <c r="A48" s="58"/>
      <c r="B48" s="158" t="s">
        <v>61</v>
      </c>
      <c r="C48" s="159" t="s">
        <v>11</v>
      </c>
      <c r="D48" s="158" t="s">
        <v>62</v>
      </c>
      <c r="E48" s="158" t="s">
        <v>63</v>
      </c>
      <c r="G48" s="163"/>
      <c r="H48" s="164" t="s">
        <v>61</v>
      </c>
      <c r="I48" s="165" t="s">
        <v>11</v>
      </c>
      <c r="J48" s="164" t="s">
        <v>62</v>
      </c>
      <c r="K48" s="164" t="s">
        <v>63</v>
      </c>
      <c r="N48" s="163"/>
      <c r="O48" s="164" t="s">
        <v>61</v>
      </c>
      <c r="P48" s="165" t="s">
        <v>11</v>
      </c>
      <c r="Q48" s="164" t="s">
        <v>62</v>
      </c>
      <c r="R48" s="164" t="s">
        <v>63</v>
      </c>
      <c r="Y48" s="166"/>
      <c r="Z48" s="167" t="s">
        <v>61</v>
      </c>
      <c r="AA48" s="168" t="s">
        <v>11</v>
      </c>
      <c r="AB48" s="167" t="s">
        <v>62</v>
      </c>
      <c r="AC48" s="167" t="s">
        <v>63</v>
      </c>
      <c r="AD48" s="58"/>
      <c r="AE48" s="158" t="s">
        <v>61</v>
      </c>
      <c r="AF48" s="159" t="s">
        <v>11</v>
      </c>
      <c r="AG48" s="158" t="s">
        <v>62</v>
      </c>
      <c r="AH48" s="158" t="s">
        <v>63</v>
      </c>
    </row>
    <row r="49" spans="1:35">
      <c r="A49" s="58" t="s">
        <v>2</v>
      </c>
      <c r="B49" s="127">
        <v>500000000</v>
      </c>
      <c r="C49" s="128">
        <v>50000000</v>
      </c>
      <c r="D49" s="64">
        <v>5016000</v>
      </c>
      <c r="E49" s="129">
        <v>10032</v>
      </c>
      <c r="G49" s="163" t="s">
        <v>2</v>
      </c>
      <c r="H49" s="169">
        <v>500000000</v>
      </c>
      <c r="I49" s="170">
        <v>50000000</v>
      </c>
      <c r="J49" s="169">
        <v>8799000</v>
      </c>
      <c r="K49" s="171">
        <v>17598</v>
      </c>
      <c r="N49" s="163" t="s">
        <v>2</v>
      </c>
      <c r="O49" s="169">
        <v>500000000</v>
      </c>
      <c r="P49" s="170">
        <v>45000000</v>
      </c>
      <c r="Q49" s="64">
        <v>6775230</v>
      </c>
      <c r="R49" s="171">
        <v>13550.460000000001</v>
      </c>
      <c r="S49" s="160">
        <v>-0.22999999999999998</v>
      </c>
      <c r="Y49" s="166" t="s">
        <v>2</v>
      </c>
      <c r="Z49" s="172">
        <v>500000000</v>
      </c>
      <c r="AA49" s="173">
        <v>50000000</v>
      </c>
      <c r="AB49" s="172">
        <v>12498000</v>
      </c>
      <c r="AC49" s="174">
        <v>24996</v>
      </c>
      <c r="AD49" s="58" t="s">
        <v>2</v>
      </c>
      <c r="AE49" s="127">
        <v>500000000</v>
      </c>
      <c r="AF49" s="128">
        <v>45000000</v>
      </c>
      <c r="AG49" s="64">
        <v>9998400</v>
      </c>
      <c r="AH49" s="174">
        <v>19996.8</v>
      </c>
      <c r="AI49" s="160">
        <v>-0.20000000000000007</v>
      </c>
    </row>
    <row r="50" spans="1:35">
      <c r="A50" s="58" t="s">
        <v>3</v>
      </c>
      <c r="B50" s="64">
        <v>1000000000</v>
      </c>
      <c r="C50" s="128">
        <v>60000000</v>
      </c>
      <c r="D50" s="64">
        <v>8653000</v>
      </c>
      <c r="E50" s="129">
        <v>8653</v>
      </c>
      <c r="G50" s="163" t="s">
        <v>3</v>
      </c>
      <c r="H50" s="169">
        <v>1000000000</v>
      </c>
      <c r="I50" s="170">
        <v>60000000</v>
      </c>
      <c r="J50" s="169">
        <v>15178000</v>
      </c>
      <c r="K50" s="171">
        <v>15178</v>
      </c>
      <c r="N50" s="163" t="s">
        <v>3</v>
      </c>
      <c r="O50" s="169">
        <v>1000000000</v>
      </c>
      <c r="P50" s="170">
        <v>55000000</v>
      </c>
      <c r="Q50" s="64">
        <v>11838840</v>
      </c>
      <c r="R50" s="171">
        <v>11838.84</v>
      </c>
      <c r="S50" s="160">
        <v>-0.21999999999999997</v>
      </c>
      <c r="Y50" s="166" t="s">
        <v>3</v>
      </c>
      <c r="Z50" s="172">
        <v>1000000000</v>
      </c>
      <c r="AA50" s="173">
        <v>60000000</v>
      </c>
      <c r="AB50" s="172">
        <v>21559000</v>
      </c>
      <c r="AC50" s="174">
        <v>21559</v>
      </c>
      <c r="AD50" s="58" t="s">
        <v>3</v>
      </c>
      <c r="AE50" s="64">
        <v>1000000000</v>
      </c>
      <c r="AF50" s="128">
        <v>55000000</v>
      </c>
      <c r="AG50" s="64">
        <v>17786175</v>
      </c>
      <c r="AH50" s="174">
        <v>17786.175000000003</v>
      </c>
      <c r="AI50" s="160">
        <v>-0.17499999999999982</v>
      </c>
    </row>
    <row r="51" spans="1:35">
      <c r="A51" s="58" t="s">
        <v>4</v>
      </c>
      <c r="B51" s="141">
        <v>1500000000</v>
      </c>
      <c r="C51" s="142">
        <v>75000000</v>
      </c>
      <c r="D51" s="141">
        <v>12439000</v>
      </c>
      <c r="E51" s="129">
        <v>8292.6666666666661</v>
      </c>
      <c r="G51" s="163" t="s">
        <v>4</v>
      </c>
      <c r="H51" s="175">
        <v>1500000000</v>
      </c>
      <c r="I51" s="176">
        <v>75000000</v>
      </c>
      <c r="J51" s="175">
        <v>21818000</v>
      </c>
      <c r="K51" s="171">
        <v>14545.333333333334</v>
      </c>
      <c r="N51" s="163" t="s">
        <v>4</v>
      </c>
      <c r="O51" s="175">
        <v>1500000000</v>
      </c>
      <c r="P51" s="176">
        <v>70000000</v>
      </c>
      <c r="Q51" s="64">
        <v>17018040</v>
      </c>
      <c r="R51" s="171">
        <v>11345.36</v>
      </c>
      <c r="S51" s="160">
        <v>-0.21999999999999997</v>
      </c>
      <c r="Y51" s="166" t="s">
        <v>4</v>
      </c>
      <c r="Z51" s="177">
        <v>1500000000</v>
      </c>
      <c r="AA51" s="178">
        <v>75000000</v>
      </c>
      <c r="AB51" s="177">
        <v>30991000</v>
      </c>
      <c r="AC51" s="174">
        <v>20660.666666666668</v>
      </c>
      <c r="AD51" s="58" t="s">
        <v>4</v>
      </c>
      <c r="AE51" s="141">
        <v>1500000000</v>
      </c>
      <c r="AF51" s="142">
        <v>70000000</v>
      </c>
      <c r="AG51" s="64">
        <v>25567575</v>
      </c>
      <c r="AH51" s="174">
        <v>17045.05</v>
      </c>
      <c r="AI51" s="160">
        <v>-0.17500000000000004</v>
      </c>
    </row>
    <row r="52" spans="1:35">
      <c r="A52" s="58" t="s">
        <v>122</v>
      </c>
      <c r="B52" s="141">
        <v>2000000000</v>
      </c>
      <c r="C52" s="142">
        <v>90000000</v>
      </c>
      <c r="D52" s="141">
        <v>16689000</v>
      </c>
      <c r="E52" s="129">
        <v>8344.5</v>
      </c>
      <c r="G52" s="163" t="s">
        <v>4</v>
      </c>
      <c r="H52" s="175">
        <v>2000000000</v>
      </c>
      <c r="I52" s="176">
        <v>90000000</v>
      </c>
      <c r="J52" s="175">
        <v>29272000</v>
      </c>
      <c r="K52" s="171">
        <v>14636</v>
      </c>
      <c r="N52" s="163" t="s">
        <v>4</v>
      </c>
      <c r="O52" s="175">
        <v>2000000000</v>
      </c>
      <c r="P52" s="176">
        <v>80000000</v>
      </c>
      <c r="Q52" s="64">
        <v>21954000</v>
      </c>
      <c r="R52" s="171">
        <v>10977</v>
      </c>
      <c r="S52" s="160">
        <v>-0.25</v>
      </c>
      <c r="Y52" s="166" t="s">
        <v>4</v>
      </c>
      <c r="Z52" s="177">
        <v>2000000000</v>
      </c>
      <c r="AA52" s="178">
        <v>90000000</v>
      </c>
      <c r="AB52" s="177">
        <v>41580000</v>
      </c>
      <c r="AC52" s="174">
        <v>20790</v>
      </c>
      <c r="AD52" s="58" t="s">
        <v>4</v>
      </c>
      <c r="AE52" s="141">
        <v>2000000000</v>
      </c>
      <c r="AF52" s="142">
        <v>80000000</v>
      </c>
      <c r="AG52" s="64">
        <v>33264000</v>
      </c>
      <c r="AH52" s="174">
        <v>16632</v>
      </c>
      <c r="AI52" s="160">
        <v>-0.19999999999999996</v>
      </c>
    </row>
    <row r="53" spans="1:35" ht="15.75" thickBot="1">
      <c r="A53" s="120"/>
      <c r="B53" s="120"/>
      <c r="C53" s="120"/>
      <c r="D53" s="120"/>
      <c r="E53" s="120"/>
      <c r="G53" s="161"/>
      <c r="H53" s="161"/>
      <c r="I53" s="161"/>
      <c r="J53" s="161"/>
      <c r="K53" s="161"/>
      <c r="N53" s="161"/>
      <c r="O53" s="161"/>
      <c r="P53" s="161"/>
      <c r="Q53" s="161"/>
      <c r="R53" s="161"/>
      <c r="Y53" s="162"/>
      <c r="Z53" s="162"/>
      <c r="AA53" s="162"/>
      <c r="AB53" s="162"/>
      <c r="AC53" s="162"/>
    </row>
    <row r="54" spans="1:35" ht="15.75" customHeight="1" thickBot="1">
      <c r="A54" s="155"/>
      <c r="B54" s="155"/>
      <c r="C54" s="155"/>
      <c r="D54" s="155"/>
      <c r="E54" s="155"/>
      <c r="G54" s="179"/>
      <c r="H54" s="179"/>
      <c r="I54" s="179"/>
      <c r="J54" s="179"/>
      <c r="K54" s="179"/>
      <c r="N54" s="179"/>
      <c r="O54" s="179"/>
      <c r="P54" s="179"/>
      <c r="Q54" s="179"/>
      <c r="R54" s="179"/>
      <c r="Y54" s="180"/>
      <c r="Z54" s="180"/>
      <c r="AA54" s="180"/>
      <c r="AB54" s="180"/>
      <c r="AC54" s="180"/>
      <c r="AD54" s="180"/>
      <c r="AE54" s="180"/>
      <c r="AF54" s="180"/>
      <c r="AG54" s="180"/>
      <c r="AH54" s="180"/>
    </row>
    <row r="55" spans="1:35" ht="15.75" thickBot="1">
      <c r="A55" s="156" t="s">
        <v>125</v>
      </c>
      <c r="B55" s="157">
        <v>1</v>
      </c>
      <c r="C55" s="157">
        <v>0.19999999999999996</v>
      </c>
      <c r="D55" s="157">
        <v>0.72507974481658688</v>
      </c>
      <c r="E55" s="157">
        <v>-0.13746012759170656</v>
      </c>
      <c r="G55" s="181" t="s">
        <v>125</v>
      </c>
      <c r="H55" s="182">
        <v>1</v>
      </c>
      <c r="I55" s="182">
        <v>0.19999999999999996</v>
      </c>
      <c r="J55" s="182">
        <v>0.72496874644845999</v>
      </c>
      <c r="K55" s="182">
        <v>-0.13751562677577001</v>
      </c>
      <c r="N55" s="181" t="s">
        <v>125</v>
      </c>
      <c r="O55" s="182">
        <v>1</v>
      </c>
      <c r="P55" s="182">
        <v>0.22222222222222232</v>
      </c>
      <c r="Q55" s="182">
        <v>0.7473709379607778</v>
      </c>
      <c r="R55" s="182">
        <v>-0.12631453101961121</v>
      </c>
      <c r="Y55" s="183" t="s">
        <v>125</v>
      </c>
      <c r="Z55" s="184">
        <v>1</v>
      </c>
      <c r="AA55" s="184">
        <v>0.19999999999999996</v>
      </c>
      <c r="AB55" s="184">
        <v>0.72499599935989756</v>
      </c>
      <c r="AC55" s="184">
        <v>-0.13750200032005122</v>
      </c>
      <c r="AD55" s="183" t="s">
        <v>125</v>
      </c>
      <c r="AE55" s="184">
        <v>1</v>
      </c>
      <c r="AF55" s="184">
        <v>0.22222222222222232</v>
      </c>
      <c r="AG55" s="184">
        <v>0.77890212433989436</v>
      </c>
      <c r="AH55" s="184">
        <v>-0.1105489378300526</v>
      </c>
    </row>
    <row r="56" spans="1:35" ht="15.75" thickBot="1">
      <c r="A56" s="156" t="s">
        <v>126</v>
      </c>
      <c r="B56" s="157">
        <v>2</v>
      </c>
      <c r="C56" s="157">
        <v>0.5</v>
      </c>
      <c r="D56" s="157">
        <v>1.4798644338118021</v>
      </c>
      <c r="E56" s="157">
        <v>-0.17337852206273263</v>
      </c>
      <c r="G56" s="181" t="s">
        <v>126</v>
      </c>
      <c r="H56" s="182">
        <v>2</v>
      </c>
      <c r="I56" s="182">
        <v>0.5</v>
      </c>
      <c r="J56" s="182">
        <v>1.4795999545402885</v>
      </c>
      <c r="K56" s="182">
        <v>-0.17346668181990377</v>
      </c>
      <c r="N56" s="181" t="s">
        <v>126</v>
      </c>
      <c r="O56" s="182">
        <v>2</v>
      </c>
      <c r="P56" s="182">
        <v>0.55555555555555558</v>
      </c>
      <c r="Q56" s="182">
        <v>1.5118025513525004</v>
      </c>
      <c r="R56" s="182">
        <v>-0.16273248288249997</v>
      </c>
      <c r="Y56" s="183" t="s">
        <v>126</v>
      </c>
      <c r="Z56" s="184">
        <v>2</v>
      </c>
      <c r="AA56" s="184">
        <v>0.5</v>
      </c>
      <c r="AB56" s="184">
        <v>1.4796767482797248</v>
      </c>
      <c r="AC56" s="184">
        <v>-0.17344108390675839</v>
      </c>
      <c r="AD56" s="183" t="s">
        <v>126</v>
      </c>
      <c r="AE56" s="184">
        <v>2</v>
      </c>
      <c r="AF56" s="184">
        <v>0.55555555555555558</v>
      </c>
      <c r="AG56" s="184">
        <v>1.5571666466634659</v>
      </c>
      <c r="AH56" s="184">
        <v>-0.14761111777884461</v>
      </c>
    </row>
    <row r="57" spans="1:35">
      <c r="A57" s="156" t="s">
        <v>127</v>
      </c>
      <c r="B57" s="157">
        <v>3</v>
      </c>
      <c r="C57" s="157">
        <v>0.8</v>
      </c>
      <c r="D57" s="157">
        <v>2.3271531100478469</v>
      </c>
      <c r="E57" s="157">
        <v>-0.16821172248803828</v>
      </c>
      <c r="G57" s="181" t="s">
        <v>127</v>
      </c>
      <c r="H57" s="182">
        <v>3</v>
      </c>
      <c r="I57" s="182">
        <v>0.8</v>
      </c>
      <c r="J57" s="182">
        <v>2.3267416751903625</v>
      </c>
      <c r="K57" s="182">
        <v>-0.16831458120240939</v>
      </c>
      <c r="N57" s="181" t="s">
        <v>127</v>
      </c>
      <c r="O57" s="182">
        <v>3</v>
      </c>
      <c r="P57" s="182">
        <v>0.77777777777777768</v>
      </c>
      <c r="Q57" s="182">
        <v>2.2403328005100933</v>
      </c>
      <c r="R57" s="182">
        <v>-0.18991679987247667</v>
      </c>
      <c r="Y57" s="183" t="s">
        <v>127</v>
      </c>
      <c r="Z57" s="184">
        <v>3</v>
      </c>
      <c r="AA57" s="184">
        <v>0.8</v>
      </c>
      <c r="AB57" s="184">
        <v>2.3269323091694671</v>
      </c>
      <c r="AC57" s="184">
        <v>-0.16826692270763322</v>
      </c>
      <c r="AD57" s="183" t="s">
        <v>127</v>
      </c>
      <c r="AE57" s="184">
        <v>3</v>
      </c>
      <c r="AF57" s="184">
        <v>0.77777777777777768</v>
      </c>
      <c r="AG57" s="184">
        <v>2.3269323091694671</v>
      </c>
      <c r="AH57" s="184">
        <v>-0.16826692270763322</v>
      </c>
    </row>
    <row r="58" spans="1:35">
      <c r="G58" s="161"/>
      <c r="H58" s="161"/>
      <c r="I58" s="161"/>
      <c r="J58" s="161"/>
      <c r="K58" s="161"/>
      <c r="Y58" s="162"/>
      <c r="Z58" s="162"/>
      <c r="AA58" s="162"/>
      <c r="AB58" s="162"/>
      <c r="AC58" s="162"/>
    </row>
    <row r="59" spans="1:35" ht="15.75" thickBot="1">
      <c r="G59" s="161"/>
      <c r="H59" s="161"/>
      <c r="I59" s="161"/>
      <c r="J59" s="161"/>
      <c r="K59" s="161"/>
      <c r="Y59" s="162"/>
      <c r="Z59" s="162"/>
      <c r="AA59" s="162"/>
      <c r="AB59" s="162"/>
      <c r="AC59" s="162"/>
    </row>
    <row r="60" spans="1:35" ht="74.45" customHeight="1" thickBot="1">
      <c r="A60" s="301" t="s">
        <v>112</v>
      </c>
      <c r="B60" s="302"/>
      <c r="C60" s="302"/>
      <c r="D60" s="302"/>
      <c r="E60" s="302"/>
      <c r="G60" s="303" t="s">
        <v>134</v>
      </c>
      <c r="H60" s="304"/>
      <c r="I60" s="304"/>
      <c r="J60" s="304"/>
      <c r="K60" s="304"/>
      <c r="N60" s="305" t="s">
        <v>135</v>
      </c>
      <c r="O60" s="306"/>
      <c r="P60" s="306"/>
      <c r="Q60" s="306"/>
      <c r="R60" s="306"/>
      <c r="Y60" s="305" t="s">
        <v>133</v>
      </c>
      <c r="Z60" s="306"/>
      <c r="AA60" s="306"/>
      <c r="AB60" s="306"/>
      <c r="AC60" s="306"/>
      <c r="AD60" s="303" t="s">
        <v>136</v>
      </c>
      <c r="AE60" s="304"/>
      <c r="AF60" s="304"/>
      <c r="AG60" s="304"/>
      <c r="AH60" s="304"/>
    </row>
    <row r="61" spans="1:35" ht="15.75" thickBot="1">
      <c r="G61" s="161"/>
      <c r="H61" s="161"/>
      <c r="I61" s="161"/>
      <c r="J61" s="161"/>
      <c r="K61" s="161"/>
      <c r="N61" s="161"/>
      <c r="O61" s="161"/>
      <c r="P61" s="161"/>
      <c r="Q61" s="161"/>
      <c r="R61" s="161"/>
      <c r="Y61" s="162"/>
      <c r="Z61" s="162"/>
      <c r="AA61" s="162"/>
      <c r="AB61" s="162"/>
      <c r="AC61" s="162"/>
      <c r="AD61" s="161"/>
      <c r="AE61" s="161"/>
      <c r="AF61" s="161"/>
      <c r="AG61" s="161"/>
      <c r="AH61" s="161"/>
    </row>
    <row r="62" spans="1:35">
      <c r="A62" s="295" t="s">
        <v>10</v>
      </c>
      <c r="B62" s="296"/>
      <c r="C62" s="296"/>
      <c r="D62" s="296"/>
      <c r="E62" s="296"/>
      <c r="G62" s="297" t="s">
        <v>10</v>
      </c>
      <c r="H62" s="298"/>
      <c r="I62" s="298"/>
      <c r="J62" s="298"/>
      <c r="K62" s="298"/>
      <c r="N62" s="297" t="s">
        <v>10</v>
      </c>
      <c r="O62" s="298"/>
      <c r="P62" s="298"/>
      <c r="Q62" s="298"/>
      <c r="R62" s="298"/>
      <c r="Y62" s="299" t="s">
        <v>10</v>
      </c>
      <c r="Z62" s="300"/>
      <c r="AA62" s="300"/>
      <c r="AB62" s="300"/>
      <c r="AC62" s="300"/>
      <c r="AD62" s="297" t="s">
        <v>10</v>
      </c>
      <c r="AE62" s="298"/>
      <c r="AF62" s="298"/>
      <c r="AG62" s="298"/>
      <c r="AH62" s="298"/>
    </row>
    <row r="63" spans="1:35" ht="30">
      <c r="A63" s="58"/>
      <c r="B63" s="158" t="s">
        <v>61</v>
      </c>
      <c r="C63" s="159" t="s">
        <v>11</v>
      </c>
      <c r="D63" s="158" t="s">
        <v>62</v>
      </c>
      <c r="E63" s="158" t="s">
        <v>63</v>
      </c>
      <c r="G63" s="163"/>
      <c r="H63" s="164" t="s">
        <v>61</v>
      </c>
      <c r="I63" s="165" t="s">
        <v>11</v>
      </c>
      <c r="J63" s="164" t="s">
        <v>62</v>
      </c>
      <c r="K63" s="164" t="s">
        <v>63</v>
      </c>
      <c r="N63" s="163"/>
      <c r="O63" s="164" t="s">
        <v>61</v>
      </c>
      <c r="P63" s="165" t="s">
        <v>11</v>
      </c>
      <c r="Q63" s="164" t="s">
        <v>62</v>
      </c>
      <c r="R63" s="164" t="s">
        <v>63</v>
      </c>
      <c r="Y63" s="166"/>
      <c r="Z63" s="167" t="s">
        <v>61</v>
      </c>
      <c r="AA63" s="168" t="s">
        <v>11</v>
      </c>
      <c r="AB63" s="167" t="s">
        <v>62</v>
      </c>
      <c r="AC63" s="167" t="s">
        <v>63</v>
      </c>
      <c r="AD63" s="163"/>
      <c r="AE63" s="164" t="s">
        <v>61</v>
      </c>
      <c r="AF63" s="165" t="s">
        <v>11</v>
      </c>
      <c r="AG63" s="164" t="s">
        <v>62</v>
      </c>
      <c r="AH63" s="164" t="s">
        <v>63</v>
      </c>
    </row>
    <row r="64" spans="1:35">
      <c r="A64" s="58" t="s">
        <v>2</v>
      </c>
      <c r="B64" s="127">
        <v>500000000</v>
      </c>
      <c r="C64" s="128">
        <v>50000000</v>
      </c>
      <c r="D64" s="64">
        <v>5267000</v>
      </c>
      <c r="E64" s="129">
        <v>10534</v>
      </c>
      <c r="G64" s="163" t="s">
        <v>2</v>
      </c>
      <c r="H64" s="169">
        <v>500000000</v>
      </c>
      <c r="I64" s="170">
        <v>50000000</v>
      </c>
      <c r="J64" s="169">
        <v>9239000</v>
      </c>
      <c r="K64" s="171">
        <v>18478</v>
      </c>
      <c r="N64" s="163" t="s">
        <v>2</v>
      </c>
      <c r="O64" s="169">
        <v>500000000</v>
      </c>
      <c r="P64" s="170">
        <v>30000000</v>
      </c>
      <c r="Q64" s="64">
        <v>7206420</v>
      </c>
      <c r="R64" s="171">
        <v>14412.84</v>
      </c>
      <c r="S64" s="160">
        <v>-0.21999999999999997</v>
      </c>
      <c r="Y64" s="166" t="s">
        <v>2</v>
      </c>
      <c r="Z64" s="172">
        <v>500000000</v>
      </c>
      <c r="AA64" s="173">
        <v>50000000</v>
      </c>
      <c r="AB64" s="172">
        <v>13123000</v>
      </c>
      <c r="AC64" s="174">
        <v>26246</v>
      </c>
      <c r="AD64" s="163" t="s">
        <v>2</v>
      </c>
      <c r="AE64" s="169">
        <v>500000000</v>
      </c>
      <c r="AF64" s="170">
        <v>45000000</v>
      </c>
      <c r="AG64" s="169">
        <v>10629630</v>
      </c>
      <c r="AH64" s="171">
        <v>21259.26</v>
      </c>
      <c r="AI64" s="160">
        <v>-0.19000000000000006</v>
      </c>
    </row>
    <row r="65" spans="1:35">
      <c r="A65" s="58" t="s">
        <v>3</v>
      </c>
      <c r="B65" s="64">
        <v>1000000000</v>
      </c>
      <c r="C65" s="128">
        <v>60000000</v>
      </c>
      <c r="D65" s="64">
        <v>9086000</v>
      </c>
      <c r="E65" s="129">
        <v>9086</v>
      </c>
      <c r="G65" s="163" t="s">
        <v>3</v>
      </c>
      <c r="H65" s="169">
        <v>1000000000</v>
      </c>
      <c r="I65" s="170">
        <v>60000000</v>
      </c>
      <c r="J65" s="169">
        <v>15937000</v>
      </c>
      <c r="K65" s="171">
        <v>15937</v>
      </c>
      <c r="N65" s="163" t="s">
        <v>3</v>
      </c>
      <c r="O65" s="169">
        <v>1000000000</v>
      </c>
      <c r="P65" s="170">
        <v>55000000</v>
      </c>
      <c r="Q65" s="64">
        <v>12749600</v>
      </c>
      <c r="R65" s="171">
        <v>12749.6</v>
      </c>
      <c r="S65" s="160">
        <v>-0.19999999999999996</v>
      </c>
      <c r="Y65" s="166" t="s">
        <v>3</v>
      </c>
      <c r="Z65" s="172">
        <v>1000000000</v>
      </c>
      <c r="AA65" s="173">
        <v>60000000</v>
      </c>
      <c r="AB65" s="172">
        <v>22637000</v>
      </c>
      <c r="AC65" s="174">
        <v>22637</v>
      </c>
      <c r="AD65" s="163" t="s">
        <v>3</v>
      </c>
      <c r="AE65" s="169">
        <v>1000000000</v>
      </c>
      <c r="AF65" s="170">
        <v>55000000</v>
      </c>
      <c r="AG65" s="169">
        <v>18562340</v>
      </c>
      <c r="AH65" s="171">
        <v>18562.34</v>
      </c>
      <c r="AI65" s="160">
        <v>-0.18000000000000005</v>
      </c>
    </row>
    <row r="66" spans="1:35">
      <c r="A66" s="58" t="s">
        <v>4</v>
      </c>
      <c r="B66" s="141">
        <v>1500000000</v>
      </c>
      <c r="C66" s="142">
        <v>75000000</v>
      </c>
      <c r="D66" s="141">
        <v>13061000</v>
      </c>
      <c r="E66" s="129">
        <v>8707.3333333333321</v>
      </c>
      <c r="G66" s="163" t="s">
        <v>4</v>
      </c>
      <c r="H66" s="175">
        <v>1500000000</v>
      </c>
      <c r="I66" s="176">
        <v>75000000</v>
      </c>
      <c r="J66" s="175">
        <v>22909000</v>
      </c>
      <c r="K66" s="171">
        <v>15272.666666666668</v>
      </c>
      <c r="N66" s="163" t="s">
        <v>4</v>
      </c>
      <c r="O66" s="175">
        <v>1500000000</v>
      </c>
      <c r="P66" s="176">
        <v>60000000</v>
      </c>
      <c r="Q66" s="64">
        <v>18327200</v>
      </c>
      <c r="R66" s="171">
        <v>12218.133333333333</v>
      </c>
      <c r="S66" s="160">
        <v>-0.20000000000000007</v>
      </c>
      <c r="Y66" s="166" t="s">
        <v>4</v>
      </c>
      <c r="Z66" s="177">
        <v>1500000000</v>
      </c>
      <c r="AA66" s="178">
        <v>75000000</v>
      </c>
      <c r="AB66" s="177">
        <v>32541000</v>
      </c>
      <c r="AC66" s="174">
        <v>21694</v>
      </c>
      <c r="AD66" s="163" t="s">
        <v>4</v>
      </c>
      <c r="AE66" s="175">
        <v>1500000000</v>
      </c>
      <c r="AF66" s="176">
        <v>70000000</v>
      </c>
      <c r="AG66" s="169">
        <v>26683620</v>
      </c>
      <c r="AH66" s="171">
        <v>17789.079999999998</v>
      </c>
      <c r="AI66" s="160">
        <v>-0.18000000000000005</v>
      </c>
    </row>
    <row r="67" spans="1:35">
      <c r="A67" s="58" t="s">
        <v>122</v>
      </c>
      <c r="B67" s="141">
        <v>2000000000</v>
      </c>
      <c r="C67" s="142">
        <v>90000000</v>
      </c>
      <c r="D67" s="141">
        <v>17524000</v>
      </c>
      <c r="E67" s="129">
        <v>8762</v>
      </c>
      <c r="G67" s="163" t="s">
        <v>4</v>
      </c>
      <c r="H67" s="175">
        <v>2000000000</v>
      </c>
      <c r="I67" s="176">
        <v>90000000</v>
      </c>
      <c r="J67" s="175">
        <v>30736000</v>
      </c>
      <c r="K67" s="171">
        <v>15368</v>
      </c>
      <c r="N67" s="163" t="s">
        <v>4</v>
      </c>
      <c r="O67" s="175">
        <v>2000000000</v>
      </c>
      <c r="P67" s="176">
        <v>80000000</v>
      </c>
      <c r="Q67" s="64">
        <v>24281440</v>
      </c>
      <c r="R67" s="171">
        <v>12140.720000000001</v>
      </c>
      <c r="S67" s="160">
        <v>-0.20999999999999996</v>
      </c>
      <c r="Y67" s="166" t="s">
        <v>4</v>
      </c>
      <c r="Z67" s="177">
        <v>2000000000</v>
      </c>
      <c r="AA67" s="178">
        <v>90000000</v>
      </c>
      <c r="AB67" s="177">
        <v>43659000</v>
      </c>
      <c r="AC67" s="174">
        <v>21829.5</v>
      </c>
      <c r="AD67" s="163" t="s">
        <v>4</v>
      </c>
      <c r="AE67" s="175">
        <v>2000000000</v>
      </c>
      <c r="AF67" s="176">
        <v>80000000</v>
      </c>
      <c r="AG67" s="169">
        <v>36673560</v>
      </c>
      <c r="AH67" s="171">
        <v>18336.78</v>
      </c>
      <c r="AI67" s="160">
        <v>-0.16000000000000003</v>
      </c>
    </row>
    <row r="68" spans="1:35" ht="15.75" thickBot="1">
      <c r="A68" s="120"/>
      <c r="B68" s="120"/>
      <c r="C68" s="120"/>
      <c r="D68" s="120"/>
      <c r="E68" s="120"/>
      <c r="G68" s="161"/>
      <c r="H68" s="161"/>
      <c r="I68" s="161"/>
      <c r="J68" s="161"/>
      <c r="K68" s="161"/>
      <c r="N68" s="161"/>
      <c r="O68" s="161"/>
      <c r="P68" s="161"/>
      <c r="Q68" s="161"/>
      <c r="R68" s="161"/>
      <c r="Y68" s="162"/>
      <c r="Z68" s="162"/>
      <c r="AA68" s="162"/>
      <c r="AB68" s="162"/>
      <c r="AC68" s="162"/>
    </row>
    <row r="69" spans="1:35" ht="15.75" thickBot="1">
      <c r="A69" s="155"/>
      <c r="B69" s="155"/>
      <c r="C69" s="155"/>
      <c r="D69" s="155"/>
      <c r="E69" s="155"/>
      <c r="G69" s="179"/>
      <c r="H69" s="179"/>
      <c r="I69" s="179"/>
      <c r="J69" s="179"/>
      <c r="K69" s="179"/>
      <c r="N69" s="179"/>
      <c r="O69" s="179"/>
      <c r="P69" s="179"/>
      <c r="Q69" s="179"/>
      <c r="R69" s="179"/>
      <c r="Y69" s="180"/>
      <c r="Z69" s="180"/>
      <c r="AA69" s="180"/>
      <c r="AB69" s="180"/>
      <c r="AC69" s="180"/>
      <c r="AD69" s="180"/>
      <c r="AE69" s="180"/>
      <c r="AF69" s="180"/>
      <c r="AG69" s="180"/>
      <c r="AH69" s="180"/>
    </row>
    <row r="70" spans="1:35" ht="15.75" thickBot="1">
      <c r="A70" s="156" t="s">
        <v>125</v>
      </c>
      <c r="B70" s="157">
        <v>1</v>
      </c>
      <c r="C70" s="157">
        <v>0.19999999999999996</v>
      </c>
      <c r="D70" s="157">
        <v>0.72508069109550033</v>
      </c>
      <c r="E70" s="157">
        <v>-0.13745965445224984</v>
      </c>
      <c r="G70" s="181" t="s">
        <v>125</v>
      </c>
      <c r="H70" s="182">
        <v>1</v>
      </c>
      <c r="I70" s="182">
        <v>0.19999999999999996</v>
      </c>
      <c r="J70" s="182">
        <v>0.724970234873904</v>
      </c>
      <c r="K70" s="182">
        <v>-0.137514882563048</v>
      </c>
      <c r="N70" s="181" t="s">
        <v>125</v>
      </c>
      <c r="O70" s="182">
        <v>1</v>
      </c>
      <c r="P70" s="182">
        <v>0.83333333333333326</v>
      </c>
      <c r="Q70" s="182">
        <v>0.76920024089631189</v>
      </c>
      <c r="R70" s="182">
        <v>-0.11539987955184405</v>
      </c>
      <c r="Y70" s="183" t="s">
        <v>125</v>
      </c>
      <c r="Z70" s="184">
        <v>1</v>
      </c>
      <c r="AA70" s="184">
        <v>0.19999999999999996</v>
      </c>
      <c r="AB70" s="184">
        <v>0.72498666463461103</v>
      </c>
      <c r="AC70" s="184">
        <v>-0.13750666768269448</v>
      </c>
      <c r="AD70" s="183" t="s">
        <v>125</v>
      </c>
      <c r="AE70" s="184">
        <v>1</v>
      </c>
      <c r="AF70" s="184">
        <v>0.22222222222222232</v>
      </c>
      <c r="AG70" s="184">
        <v>0.74628279629676664</v>
      </c>
      <c r="AH70" s="184">
        <v>-0.12685860185161657</v>
      </c>
    </row>
    <row r="71" spans="1:35" ht="15.75" thickBot="1">
      <c r="A71" s="156" t="s">
        <v>126</v>
      </c>
      <c r="B71" s="157">
        <v>2</v>
      </c>
      <c r="C71" s="157">
        <v>0.5</v>
      </c>
      <c r="D71" s="157">
        <v>1.4797797607746346</v>
      </c>
      <c r="E71" s="157">
        <v>-0.17340674640845533</v>
      </c>
      <c r="G71" s="181" t="s">
        <v>126</v>
      </c>
      <c r="H71" s="182">
        <v>2</v>
      </c>
      <c r="I71" s="182">
        <v>0.5</v>
      </c>
      <c r="J71" s="182">
        <v>1.4795973590215392</v>
      </c>
      <c r="K71" s="182">
        <v>-0.17346754699282019</v>
      </c>
      <c r="N71" s="181" t="s">
        <v>126</v>
      </c>
      <c r="O71" s="182">
        <v>2</v>
      </c>
      <c r="P71" s="182">
        <v>1</v>
      </c>
      <c r="Q71" s="182">
        <v>1.5431767784836299</v>
      </c>
      <c r="R71" s="182">
        <v>-0.15227440717212337</v>
      </c>
      <c r="Y71" s="183" t="s">
        <v>126</v>
      </c>
      <c r="Z71" s="184">
        <v>2</v>
      </c>
      <c r="AA71" s="184">
        <v>0.5</v>
      </c>
      <c r="AB71" s="184">
        <v>1.4796921435647339</v>
      </c>
      <c r="AC71" s="184">
        <v>-0.17343595214508878</v>
      </c>
      <c r="AD71" s="183" t="s">
        <v>126</v>
      </c>
      <c r="AE71" s="184">
        <v>2</v>
      </c>
      <c r="AF71" s="184">
        <v>0.55555555555555558</v>
      </c>
      <c r="AG71" s="184">
        <v>1.5103056268186195</v>
      </c>
      <c r="AH71" s="184">
        <v>-0.16323145772712688</v>
      </c>
    </row>
    <row r="72" spans="1:35">
      <c r="A72" s="156" t="s">
        <v>127</v>
      </c>
      <c r="B72" s="157">
        <v>3</v>
      </c>
      <c r="C72" s="157">
        <v>0.8</v>
      </c>
      <c r="D72" s="157">
        <v>2.3271311942282136</v>
      </c>
      <c r="E72" s="157">
        <v>-0.16821720144294661</v>
      </c>
      <c r="G72" s="181" t="s">
        <v>127</v>
      </c>
      <c r="H72" s="182">
        <v>3</v>
      </c>
      <c r="I72" s="182">
        <v>0.8</v>
      </c>
      <c r="J72" s="182">
        <v>2.3267669661218746</v>
      </c>
      <c r="K72" s="182">
        <v>-0.16830825846953135</v>
      </c>
      <c r="N72" s="181" t="s">
        <v>127</v>
      </c>
      <c r="O72" s="182">
        <v>3</v>
      </c>
      <c r="P72" s="182">
        <v>1.6666666666666665</v>
      </c>
      <c r="Q72" s="182">
        <v>2.3694178246618987</v>
      </c>
      <c r="R72" s="182">
        <v>-0.15764554383452523</v>
      </c>
      <c r="Y72" s="183" t="s">
        <v>127</v>
      </c>
      <c r="Z72" s="184">
        <v>3</v>
      </c>
      <c r="AA72" s="184">
        <v>0.8</v>
      </c>
      <c r="AB72" s="184">
        <v>2.3269069572506287</v>
      </c>
      <c r="AC72" s="184">
        <v>-0.16827326068734283</v>
      </c>
      <c r="AD72" s="183" t="s">
        <v>127</v>
      </c>
      <c r="AE72" s="184">
        <v>3</v>
      </c>
      <c r="AF72" s="184">
        <v>0.77777777777777768</v>
      </c>
      <c r="AG72" s="184">
        <v>2.4501257334450965</v>
      </c>
      <c r="AH72" s="184">
        <v>-0.13746856663872586</v>
      </c>
    </row>
  </sheetData>
  <mergeCells count="28">
    <mergeCell ref="A1:E1"/>
    <mergeCell ref="A3:E3"/>
    <mergeCell ref="A30:E30"/>
    <mergeCell ref="G30:K30"/>
    <mergeCell ref="A32:E32"/>
    <mergeCell ref="G32:K32"/>
    <mergeCell ref="Y44:AC44"/>
    <mergeCell ref="AD44:AH44"/>
    <mergeCell ref="A45:E45"/>
    <mergeCell ref="G45:K45"/>
    <mergeCell ref="N45:R45"/>
    <mergeCell ref="Y45:AC45"/>
    <mergeCell ref="AD45:AH45"/>
    <mergeCell ref="A60:E60"/>
    <mergeCell ref="G60:K60"/>
    <mergeCell ref="N60:R60"/>
    <mergeCell ref="Y60:AC60"/>
    <mergeCell ref="AD60:AH60"/>
    <mergeCell ref="A47:E47"/>
    <mergeCell ref="G47:K47"/>
    <mergeCell ref="N47:R47"/>
    <mergeCell ref="Y47:AC47"/>
    <mergeCell ref="AD47:AH47"/>
    <mergeCell ref="A62:E62"/>
    <mergeCell ref="G62:K62"/>
    <mergeCell ref="N62:R62"/>
    <mergeCell ref="Y62:AC62"/>
    <mergeCell ref="AD62:AH6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C8EFD-CCA2-40FC-A070-605C501F0319}">
  <sheetPr codeName="Hoja6"/>
  <dimension ref="B1:L51"/>
  <sheetViews>
    <sheetView zoomScaleNormal="100" workbookViewId="0">
      <selection activeCell="E37" sqref="E37"/>
    </sheetView>
  </sheetViews>
  <sheetFormatPr defaultColWidth="11.42578125" defaultRowHeight="28.9" customHeight="1"/>
  <cols>
    <col min="1" max="1" width="11.42578125" style="4"/>
    <col min="2" max="2" width="37.7109375" style="4" customWidth="1"/>
    <col min="3" max="3" width="15.5703125" style="4" bestFit="1" customWidth="1"/>
    <col min="4" max="4" width="16.7109375" style="4" bestFit="1" customWidth="1"/>
    <col min="5" max="8" width="18.42578125" style="4" bestFit="1" customWidth="1"/>
    <col min="9" max="14" width="18.28515625" style="4" bestFit="1" customWidth="1"/>
    <col min="15" max="15" width="19.28515625" style="4" bestFit="1" customWidth="1"/>
    <col min="16" max="16384" width="11.42578125" style="4"/>
  </cols>
  <sheetData>
    <row r="1" spans="2:12" ht="28.9" customHeight="1">
      <c r="J1" s="4" t="s">
        <v>92</v>
      </c>
      <c r="L1" s="4" t="s">
        <v>34</v>
      </c>
    </row>
    <row r="2" spans="2:12" ht="28.9" customHeight="1">
      <c r="H2" s="91">
        <v>15000000000</v>
      </c>
      <c r="J2" s="4" t="s">
        <v>93</v>
      </c>
      <c r="L2" s="4" t="s">
        <v>37</v>
      </c>
    </row>
    <row r="3" spans="2:12" ht="28.9" customHeight="1">
      <c r="H3" s="91">
        <v>30000000000</v>
      </c>
      <c r="I3" s="4" t="s">
        <v>94</v>
      </c>
      <c r="L3" s="4" t="s">
        <v>38</v>
      </c>
    </row>
    <row r="4" spans="2:12" ht="28.9" customHeight="1">
      <c r="B4" s="1"/>
      <c r="C4" s="2"/>
      <c r="D4" s="310"/>
      <c r="E4" s="310"/>
      <c r="H4" s="91">
        <v>45000000000</v>
      </c>
      <c r="I4" s="4" t="s">
        <v>95</v>
      </c>
      <c r="L4" s="4" t="s">
        <v>39</v>
      </c>
    </row>
    <row r="5" spans="2:12" ht="28.9" customHeight="1">
      <c r="C5" s="2"/>
      <c r="H5" s="91">
        <v>60000000000</v>
      </c>
      <c r="I5" s="4" t="s">
        <v>96</v>
      </c>
      <c r="L5" s="4" t="s">
        <v>40</v>
      </c>
    </row>
    <row r="6" spans="2:12" ht="28.9" customHeight="1">
      <c r="B6" s="92" t="s">
        <v>97</v>
      </c>
      <c r="C6" s="2">
        <v>1</v>
      </c>
      <c r="D6" s="4" t="s">
        <v>98</v>
      </c>
      <c r="E6" s="7"/>
      <c r="F6" s="7"/>
      <c r="G6" s="7"/>
      <c r="H6" s="91">
        <v>100000000000</v>
      </c>
      <c r="I6" s="4" t="s">
        <v>99</v>
      </c>
      <c r="L6" s="4" t="s">
        <v>41</v>
      </c>
    </row>
    <row r="7" spans="2:12" ht="28.9" customHeight="1">
      <c r="B7" s="92" t="s">
        <v>100</v>
      </c>
      <c r="C7" s="2">
        <v>2</v>
      </c>
      <c r="D7" s="4" t="s">
        <v>98</v>
      </c>
      <c r="E7" s="4" t="s">
        <v>101</v>
      </c>
      <c r="F7" s="7"/>
      <c r="G7" s="7"/>
      <c r="H7" s="7"/>
      <c r="L7" s="4" t="s">
        <v>42</v>
      </c>
    </row>
    <row r="8" spans="2:12" ht="28.9" customHeight="1">
      <c r="B8" s="92" t="s">
        <v>17</v>
      </c>
      <c r="C8" s="2">
        <v>3</v>
      </c>
      <c r="D8" s="4" t="s">
        <v>98</v>
      </c>
      <c r="E8" s="4" t="s">
        <v>101</v>
      </c>
      <c r="F8" s="4" t="s">
        <v>102</v>
      </c>
      <c r="G8" s="7"/>
      <c r="H8" s="7"/>
      <c r="L8" s="4" t="s">
        <v>43</v>
      </c>
    </row>
    <row r="9" spans="2:12" ht="28.9" customHeight="1">
      <c r="B9" s="92" t="s">
        <v>18</v>
      </c>
      <c r="C9" s="2">
        <v>4</v>
      </c>
      <c r="D9" s="4" t="s">
        <v>98</v>
      </c>
      <c r="E9" s="4" t="s">
        <v>101</v>
      </c>
      <c r="F9" s="4" t="s">
        <v>102</v>
      </c>
      <c r="G9" s="7"/>
      <c r="H9" s="7"/>
    </row>
    <row r="10" spans="2:12" ht="28.9" customHeight="1">
      <c r="C10" s="2"/>
      <c r="D10" s="7"/>
      <c r="E10" s="7"/>
      <c r="F10" s="7"/>
      <c r="G10" s="7"/>
      <c r="H10" s="7"/>
    </row>
    <row r="11" spans="2:12" ht="28.9" customHeight="1">
      <c r="C11" s="2"/>
      <c r="D11" s="7"/>
      <c r="E11" s="7"/>
      <c r="F11" s="7"/>
      <c r="G11" s="7"/>
      <c r="H11" s="7"/>
    </row>
    <row r="12" spans="2:12" ht="28.9" customHeight="1">
      <c r="B12" s="8" t="s">
        <v>103</v>
      </c>
      <c r="C12" s="2"/>
      <c r="D12" s="310" t="s">
        <v>104</v>
      </c>
      <c r="E12" s="310"/>
      <c r="F12" s="7"/>
      <c r="H12" s="7"/>
    </row>
    <row r="13" spans="2:12" ht="28.9" customHeight="1">
      <c r="C13" s="2"/>
      <c r="D13" s="7"/>
      <c r="E13" s="7"/>
      <c r="F13" s="7"/>
      <c r="G13" s="7"/>
      <c r="H13" s="7"/>
    </row>
    <row r="14" spans="2:12" ht="28.9" customHeight="1">
      <c r="B14" s="9">
        <v>500000000</v>
      </c>
      <c r="C14" s="2">
        <v>1</v>
      </c>
      <c r="D14" s="9">
        <v>500000000</v>
      </c>
      <c r="E14" s="9">
        <v>1000000000</v>
      </c>
      <c r="F14" s="7"/>
      <c r="G14" s="7"/>
      <c r="H14" s="7"/>
    </row>
    <row r="15" spans="2:12" ht="28.9" customHeight="1">
      <c r="B15" s="9">
        <v>1000000000</v>
      </c>
      <c r="C15" s="2">
        <v>2</v>
      </c>
      <c r="D15" s="9">
        <v>1000000000</v>
      </c>
      <c r="E15" s="9">
        <v>2000000000</v>
      </c>
      <c r="F15" s="7"/>
      <c r="G15" s="7"/>
      <c r="H15" s="7"/>
    </row>
    <row r="16" spans="2:12" ht="28.9" customHeight="1">
      <c r="B16" s="9">
        <v>1500000000</v>
      </c>
      <c r="C16" s="2">
        <v>3</v>
      </c>
      <c r="D16" s="9">
        <v>1500000000</v>
      </c>
      <c r="E16" s="9">
        <v>3000000000</v>
      </c>
      <c r="F16" s="7"/>
      <c r="G16" s="7"/>
      <c r="H16" s="7"/>
    </row>
    <row r="17" spans="2:8" ht="28.9" customHeight="1">
      <c r="B17" s="9">
        <v>2000000000</v>
      </c>
      <c r="C17" s="2">
        <v>4</v>
      </c>
      <c r="D17" s="9">
        <v>2000000000</v>
      </c>
      <c r="E17" s="2"/>
      <c r="F17" s="7"/>
      <c r="G17" s="7"/>
      <c r="H17" s="7"/>
    </row>
    <row r="18" spans="2:8" ht="28.9" customHeight="1">
      <c r="B18"/>
      <c r="C18" s="2"/>
      <c r="D18" s="7"/>
      <c r="E18" s="2"/>
      <c r="F18" s="7"/>
      <c r="G18" s="7"/>
      <c r="H18" s="7"/>
    </row>
    <row r="19" spans="2:8" ht="28.9" customHeight="1">
      <c r="B19"/>
      <c r="C19" s="2"/>
      <c r="D19" s="7"/>
      <c r="E19" s="2"/>
      <c r="F19" s="7"/>
      <c r="G19" s="7"/>
      <c r="H19" s="7"/>
    </row>
    <row r="20" spans="2:8" ht="28.9" customHeight="1">
      <c r="B20" s="8" t="s">
        <v>103</v>
      </c>
      <c r="C20" s="2"/>
      <c r="D20" s="7"/>
      <c r="E20" s="2"/>
      <c r="F20" s="7"/>
      <c r="G20" s="7"/>
      <c r="H20" s="7"/>
    </row>
    <row r="21" spans="2:8" ht="28.9" customHeight="1">
      <c r="B21" s="9">
        <v>500000000</v>
      </c>
      <c r="C21" s="9">
        <v>500000000</v>
      </c>
      <c r="D21" s="4" t="s">
        <v>412</v>
      </c>
      <c r="E21" s="2">
        <v>50000000</v>
      </c>
      <c r="F21" s="7"/>
      <c r="G21" s="7"/>
      <c r="H21" s="7"/>
    </row>
    <row r="22" spans="2:8" ht="28.9" customHeight="1">
      <c r="B22" s="9">
        <v>500000000</v>
      </c>
      <c r="C22" s="9">
        <v>1000000000</v>
      </c>
      <c r="D22" s="4" t="s">
        <v>413</v>
      </c>
      <c r="E22" s="2">
        <v>50000000</v>
      </c>
      <c r="F22" s="7"/>
      <c r="G22" s="7"/>
      <c r="H22" s="7"/>
    </row>
    <row r="23" spans="2:8" ht="28.9" customHeight="1">
      <c r="B23" s="9">
        <v>1000000000</v>
      </c>
      <c r="C23" s="9">
        <v>1000000000</v>
      </c>
      <c r="D23" s="4" t="s">
        <v>414</v>
      </c>
      <c r="E23" s="2">
        <v>60000000</v>
      </c>
      <c r="F23" s="7"/>
      <c r="G23" s="7"/>
      <c r="H23" s="7"/>
    </row>
    <row r="24" spans="2:8" ht="28.9" customHeight="1">
      <c r="B24" s="9">
        <v>1000000000</v>
      </c>
      <c r="C24" s="9">
        <v>2000000000</v>
      </c>
      <c r="D24" s="4" t="s">
        <v>415</v>
      </c>
      <c r="E24" s="2">
        <v>60000000</v>
      </c>
      <c r="F24" s="7"/>
      <c r="G24" s="7"/>
      <c r="H24" s="7"/>
    </row>
    <row r="25" spans="2:8" ht="28.9" customHeight="1">
      <c r="B25" s="9">
        <v>1500000000</v>
      </c>
      <c r="C25" s="9">
        <v>1500000000</v>
      </c>
      <c r="D25" s="4" t="s">
        <v>416</v>
      </c>
      <c r="E25" s="2">
        <v>75000000</v>
      </c>
      <c r="F25" s="7"/>
      <c r="G25" s="7"/>
      <c r="H25" s="7"/>
    </row>
    <row r="26" spans="2:8" ht="28.9" customHeight="1">
      <c r="B26" s="9">
        <v>1500000000</v>
      </c>
      <c r="C26" s="9">
        <v>3000000000</v>
      </c>
      <c r="D26" s="4" t="s">
        <v>417</v>
      </c>
      <c r="E26" s="4">
        <v>75000000</v>
      </c>
    </row>
    <row r="27" spans="2:8" ht="28.9" customHeight="1">
      <c r="B27" s="9">
        <v>2000000000</v>
      </c>
      <c r="C27" s="9">
        <v>2000000000</v>
      </c>
      <c r="D27" s="4" t="s">
        <v>418</v>
      </c>
      <c r="E27" s="4">
        <v>90000000</v>
      </c>
    </row>
    <row r="31" spans="2:8" ht="28.9" customHeight="1">
      <c r="B31" s="4" t="s">
        <v>105</v>
      </c>
    </row>
    <row r="33" spans="2:12" ht="28.9" customHeight="1">
      <c r="B33"/>
      <c r="C33" s="93" t="s">
        <v>103</v>
      </c>
      <c r="D33" s="93"/>
      <c r="F33" s="94">
        <v>500000000</v>
      </c>
      <c r="G33" s="94">
        <v>500000000</v>
      </c>
      <c r="H33" s="94">
        <v>1000000000</v>
      </c>
      <c r="I33" s="94">
        <v>1000000000</v>
      </c>
      <c r="J33" s="94">
        <v>1500000000</v>
      </c>
      <c r="K33" s="94">
        <v>1500000000</v>
      </c>
      <c r="L33" s="94">
        <v>2000000000</v>
      </c>
    </row>
    <row r="34" spans="2:12" ht="28.9" customHeight="1">
      <c r="B34"/>
      <c r="C34" s="93" t="s">
        <v>104</v>
      </c>
      <c r="D34" s="93"/>
      <c r="F34" s="94">
        <v>500000000</v>
      </c>
      <c r="G34" s="94">
        <v>1000000000</v>
      </c>
      <c r="H34" s="94">
        <v>1000000000</v>
      </c>
      <c r="I34" s="94">
        <v>2000000000</v>
      </c>
      <c r="J34" s="94">
        <v>1500000000</v>
      </c>
      <c r="K34" s="94">
        <v>3000000000</v>
      </c>
      <c r="L34" s="94">
        <v>2000000000</v>
      </c>
    </row>
    <row r="35" spans="2:12" ht="28.9" customHeight="1">
      <c r="B35" s="95" t="s">
        <v>106</v>
      </c>
      <c r="C35" s="96" t="s">
        <v>107</v>
      </c>
      <c r="D35" s="96"/>
      <c r="F35" s="97" t="s">
        <v>412</v>
      </c>
      <c r="G35" s="98" t="s">
        <v>413</v>
      </c>
      <c r="H35" s="98" t="s">
        <v>414</v>
      </c>
      <c r="I35" s="98" t="s">
        <v>415</v>
      </c>
      <c r="J35" s="98" t="s">
        <v>416</v>
      </c>
      <c r="K35" s="98" t="s">
        <v>417</v>
      </c>
      <c r="L35" s="98" t="s">
        <v>418</v>
      </c>
    </row>
    <row r="36" spans="2:12" ht="28.9" customHeight="1" thickBot="1">
      <c r="B36" s="99"/>
      <c r="C36" s="100"/>
      <c r="D36" s="100"/>
      <c r="F36" s="97">
        <v>1</v>
      </c>
      <c r="G36" s="98">
        <v>2</v>
      </c>
      <c r="H36" s="98">
        <v>3</v>
      </c>
      <c r="I36" s="98">
        <v>4</v>
      </c>
      <c r="J36" s="98">
        <v>5</v>
      </c>
      <c r="K36" s="98">
        <v>6</v>
      </c>
      <c r="L36" s="98">
        <v>7</v>
      </c>
    </row>
    <row r="37" spans="2:12" ht="28.9" customHeight="1" thickBot="1">
      <c r="B37" s="101" t="s">
        <v>97</v>
      </c>
      <c r="C37" s="102" t="s">
        <v>98</v>
      </c>
      <c r="D37" s="103" t="s">
        <v>419</v>
      </c>
      <c r="E37" s="4">
        <v>1</v>
      </c>
      <c r="F37" s="104">
        <v>3800000</v>
      </c>
      <c r="G37" s="104">
        <v>4370000</v>
      </c>
      <c r="H37" s="104">
        <v>6555000</v>
      </c>
      <c r="I37" s="104">
        <v>7538249.9999999991</v>
      </c>
      <c r="J37" s="104">
        <v>9423000</v>
      </c>
      <c r="K37" s="104">
        <v>10836450</v>
      </c>
      <c r="L37" s="104">
        <v>12643000</v>
      </c>
    </row>
    <row r="38" spans="2:12" ht="28.9" customHeight="1">
      <c r="B38" s="105" t="s">
        <v>100</v>
      </c>
      <c r="C38" s="106" t="s">
        <v>98</v>
      </c>
      <c r="D38" s="103" t="s">
        <v>420</v>
      </c>
      <c r="E38" s="4">
        <v>2</v>
      </c>
      <c r="F38" s="107">
        <v>4560000</v>
      </c>
      <c r="G38" s="107">
        <v>5244000</v>
      </c>
      <c r="H38" s="107">
        <v>7866000</v>
      </c>
      <c r="I38" s="107">
        <v>9045900</v>
      </c>
      <c r="J38" s="107">
        <v>11307000</v>
      </c>
      <c r="K38" s="107">
        <v>13003049.999999998</v>
      </c>
      <c r="L38" s="107">
        <v>15170000</v>
      </c>
    </row>
    <row r="39" spans="2:12" ht="28.9" customHeight="1" thickBot="1">
      <c r="B39" s="108" t="s">
        <v>100</v>
      </c>
      <c r="C39" s="109" t="s">
        <v>101</v>
      </c>
      <c r="D39" s="103" t="s">
        <v>421</v>
      </c>
      <c r="E39" s="4">
        <v>3</v>
      </c>
      <c r="F39" s="107">
        <v>7999000</v>
      </c>
      <c r="G39" s="107">
        <v>9198850</v>
      </c>
      <c r="H39" s="107">
        <v>13798000</v>
      </c>
      <c r="I39" s="107">
        <v>15867699.999999998</v>
      </c>
      <c r="J39" s="107">
        <v>19835000</v>
      </c>
      <c r="K39" s="107">
        <v>22810250</v>
      </c>
      <c r="L39" s="107">
        <v>26612000</v>
      </c>
    </row>
    <row r="40" spans="2:12" ht="28.9" customHeight="1">
      <c r="B40" s="101" t="s">
        <v>17</v>
      </c>
      <c r="C40" s="102" t="s">
        <v>98</v>
      </c>
      <c r="D40" s="103" t="s">
        <v>422</v>
      </c>
      <c r="E40" s="4">
        <v>4</v>
      </c>
      <c r="F40" s="104">
        <v>5016000</v>
      </c>
      <c r="G40" s="104">
        <v>5768400</v>
      </c>
      <c r="H40" s="104">
        <v>8653000</v>
      </c>
      <c r="I40" s="104">
        <v>9950950</v>
      </c>
      <c r="J40" s="104">
        <v>12439000</v>
      </c>
      <c r="K40" s="104">
        <v>14304849.999999998</v>
      </c>
      <c r="L40" s="104">
        <v>16689000</v>
      </c>
    </row>
    <row r="41" spans="2:12" ht="28.9" customHeight="1">
      <c r="B41" s="110" t="s">
        <v>17</v>
      </c>
      <c r="C41" s="111" t="s">
        <v>101</v>
      </c>
      <c r="D41" s="103" t="s">
        <v>423</v>
      </c>
      <c r="E41" s="4">
        <v>5</v>
      </c>
      <c r="F41" s="104">
        <v>8799000</v>
      </c>
      <c r="G41" s="104">
        <v>10118850</v>
      </c>
      <c r="H41" s="104">
        <v>15178000</v>
      </c>
      <c r="I41" s="104">
        <v>17454700</v>
      </c>
      <c r="J41" s="104">
        <v>21818000</v>
      </c>
      <c r="K41" s="104">
        <v>25090699.999999996</v>
      </c>
      <c r="L41" s="104">
        <v>29272000</v>
      </c>
    </row>
    <row r="42" spans="2:12" ht="28.9" customHeight="1" thickBot="1">
      <c r="B42" s="112" t="s">
        <v>17</v>
      </c>
      <c r="C42" s="113" t="s">
        <v>102</v>
      </c>
      <c r="D42" s="103" t="s">
        <v>424</v>
      </c>
      <c r="E42" s="4">
        <v>6</v>
      </c>
      <c r="F42" s="104">
        <v>12498000</v>
      </c>
      <c r="G42" s="104">
        <v>14372699.999999998</v>
      </c>
      <c r="H42" s="104">
        <v>21559000</v>
      </c>
      <c r="I42" s="104">
        <v>24792849.999999996</v>
      </c>
      <c r="J42" s="104">
        <v>30991000</v>
      </c>
      <c r="K42" s="104">
        <v>35639650</v>
      </c>
      <c r="L42" s="104">
        <v>41580000</v>
      </c>
    </row>
    <row r="43" spans="2:12" ht="28.9" customHeight="1">
      <c r="B43" s="105" t="s">
        <v>18</v>
      </c>
      <c r="C43" s="114" t="s">
        <v>98</v>
      </c>
      <c r="D43" s="103" t="s">
        <v>425</v>
      </c>
      <c r="E43" s="4">
        <v>7</v>
      </c>
      <c r="F43" s="107">
        <v>5267000</v>
      </c>
      <c r="G43" s="107">
        <v>6057049.9999999991</v>
      </c>
      <c r="H43" s="107">
        <v>9086000</v>
      </c>
      <c r="I43" s="107">
        <v>10448900</v>
      </c>
      <c r="J43" s="107">
        <v>13061000</v>
      </c>
      <c r="K43" s="107">
        <v>15020149.999999998</v>
      </c>
      <c r="L43" s="107">
        <v>17524000</v>
      </c>
    </row>
    <row r="44" spans="2:12" ht="28.9" customHeight="1">
      <c r="B44" s="108" t="s">
        <v>18</v>
      </c>
      <c r="C44" s="109" t="s">
        <v>101</v>
      </c>
      <c r="D44" s="103" t="s">
        <v>426</v>
      </c>
      <c r="E44" s="4">
        <v>8</v>
      </c>
      <c r="F44" s="107">
        <v>9239000</v>
      </c>
      <c r="G44" s="107">
        <v>10624850</v>
      </c>
      <c r="H44" s="107">
        <v>15937000</v>
      </c>
      <c r="I44" s="107">
        <v>18327550</v>
      </c>
      <c r="J44" s="107">
        <v>22909000</v>
      </c>
      <c r="K44" s="107">
        <v>26345349.999999996</v>
      </c>
      <c r="L44" s="107">
        <v>30736000</v>
      </c>
    </row>
    <row r="45" spans="2:12" ht="28.9" customHeight="1" thickBot="1">
      <c r="B45" s="115" t="s">
        <v>18</v>
      </c>
      <c r="C45" s="116" t="s">
        <v>102</v>
      </c>
      <c r="D45" s="103" t="s">
        <v>427</v>
      </c>
      <c r="E45" s="4">
        <v>9</v>
      </c>
      <c r="F45" s="107">
        <v>13123000</v>
      </c>
      <c r="G45" s="107">
        <v>15091449.999999998</v>
      </c>
      <c r="H45" s="107">
        <v>22637000</v>
      </c>
      <c r="I45" s="107">
        <v>26032549.999999996</v>
      </c>
      <c r="J45" s="107">
        <v>32541000</v>
      </c>
      <c r="K45" s="107">
        <v>37422150</v>
      </c>
      <c r="L45" s="107">
        <v>43659000</v>
      </c>
    </row>
    <row r="48" spans="2:12" ht="28.9" customHeight="1">
      <c r="B48" s="4" t="s">
        <v>32</v>
      </c>
      <c r="G48" s="117"/>
    </row>
    <row r="49" spans="2:8" ht="28.9" customHeight="1">
      <c r="B49" s="4" t="s">
        <v>35</v>
      </c>
      <c r="G49" s="118">
        <v>570000</v>
      </c>
    </row>
    <row r="50" spans="2:8" ht="28.9" customHeight="1">
      <c r="F50" s="118">
        <v>4560000</v>
      </c>
      <c r="G50" s="118">
        <v>-684000</v>
      </c>
      <c r="H50" s="117">
        <v>1.1499999999999999</v>
      </c>
    </row>
    <row r="51" spans="2:8" ht="28.9" customHeight="1">
      <c r="H51" s="117">
        <v>1.1499999999999999</v>
      </c>
    </row>
  </sheetData>
  <sheetProtection selectLockedCells="1"/>
  <mergeCells count="2">
    <mergeCell ref="D4:E4"/>
    <mergeCell ref="D12:E12"/>
  </mergeCells>
  <dataValidations count="1">
    <dataValidation type="list" showInputMessage="1" showErrorMessage="1" sqref="B51:B52" xr:uid="{104AA5A9-27AD-495A-A1BF-906187FE9C27}">
      <formula1>$O$4:$O$5</formula1>
    </dataValidation>
  </dataValidations>
  <pageMargins left="0.7" right="0.7" top="0.75" bottom="0.75" header="0.3" footer="0.3"/>
  <pageSetup orientation="portrait" r:id="rId1"/>
  <headerFooter>
    <oddFooter>&amp;L&amp;1#&amp;"Calibri"&amp;10&amp;K000000INTERNAL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AE59-EAA9-4B4A-A5AA-24AC215881E4}">
  <dimension ref="A1:D13"/>
  <sheetViews>
    <sheetView workbookViewId="0">
      <selection activeCell="D10" sqref="D10"/>
    </sheetView>
  </sheetViews>
  <sheetFormatPr defaultColWidth="11.5703125" defaultRowHeight="15"/>
  <cols>
    <col min="1" max="1" width="24.5703125" customWidth="1"/>
  </cols>
  <sheetData>
    <row r="1" spans="1:4" ht="15.75" thickBot="1">
      <c r="A1" s="199" t="s">
        <v>91</v>
      </c>
      <c r="B1" s="200"/>
      <c r="C1" s="201"/>
    </row>
    <row r="2" spans="1:4">
      <c r="A2" s="199" t="s">
        <v>5</v>
      </c>
      <c r="B2" s="200" t="s">
        <v>11</v>
      </c>
      <c r="C2" s="201" t="s">
        <v>65</v>
      </c>
    </row>
    <row r="3" spans="1:4">
      <c r="A3" s="205" t="s">
        <v>2</v>
      </c>
      <c r="B3" s="203">
        <f>IFERROR(+_xlfn.XLOOKUP(D3,PRIMAS!$A$57:$A$92,PRIMAS!$D$57:$D$92,0),"-")</f>
        <v>50000000</v>
      </c>
      <c r="C3" s="204">
        <f>IFERROR(+_xlfn.XLOOKUP(D3,PRIMAS!$A$18:$A$53,PRIMAS!$D$18:$D$53,0),"-")</f>
        <v>8563362.5</v>
      </c>
      <c r="D3" t="str">
        <f>CONCATENATE(ENTRADAS!B27,"-",ENTRADAS!B28)</f>
        <v>45000000000-1000000000</v>
      </c>
    </row>
    <row r="4" spans="1:4">
      <c r="A4" s="205" t="s">
        <v>3</v>
      </c>
      <c r="B4" s="203">
        <f>IFERROR(+_xlfn.XLOOKUP(D4,PRIMAS!$A$57:$A$92,PRIMAS!$D$57:$D$92,0),"-")</f>
        <v>50000000</v>
      </c>
      <c r="C4" s="204">
        <f>IFERROR(+_xlfn.XLOOKUP(D4,PRIMAS!$A$18:$A$53,PRIMAS!$D$18:$D$53,0),"-")</f>
        <v>8563362.5</v>
      </c>
      <c r="D4" t="str">
        <f>CONCATENATE(ENTRADAS!B27,"-",ENTRADAS!B29)</f>
        <v>45000000000-1000000000</v>
      </c>
    </row>
    <row r="5" spans="1:4" ht="15.75" thickBot="1">
      <c r="A5" s="206" t="s">
        <v>4</v>
      </c>
      <c r="B5" s="209">
        <f>IFERROR(+_xlfn.XLOOKUP(D5,PRIMAS!$A$57:$A$92,PRIMAS!$D$57:$D$92,0),"-")</f>
        <v>50000000</v>
      </c>
      <c r="C5" s="207">
        <f>IFERROR(+_xlfn.XLOOKUP(D5,PRIMAS!$A$18:$A$53,PRIMAS!$D$18:$D$53,0),"-")</f>
        <v>8563362.5</v>
      </c>
      <c r="D5" t="str">
        <f>CONCATENATE(ENTRADAS!B27,"-",ENTRADAS!B30)</f>
        <v>45000000000-1000000000</v>
      </c>
    </row>
    <row r="6" spans="1:4" ht="15.75" thickBot="1">
      <c r="A6" s="205"/>
      <c r="B6" s="203"/>
      <c r="C6" s="204"/>
    </row>
    <row r="7" spans="1:4" ht="15.75" thickBot="1">
      <c r="A7" s="208" t="s">
        <v>250</v>
      </c>
      <c r="B7" s="203" t="s">
        <v>11</v>
      </c>
      <c r="C7" s="204" t="s">
        <v>65</v>
      </c>
    </row>
    <row r="8" spans="1:4">
      <c r="A8" s="199">
        <v>1</v>
      </c>
      <c r="B8" s="200">
        <f>B3</f>
        <v>50000000</v>
      </c>
      <c r="C8" s="201">
        <f>C3</f>
        <v>8563362.5</v>
      </c>
    </row>
    <row r="9" spans="1:4">
      <c r="A9" s="205">
        <v>2</v>
      </c>
      <c r="B9" s="203">
        <f t="shared" ref="B9:C10" si="0">B4</f>
        <v>50000000</v>
      </c>
      <c r="C9" s="204">
        <f t="shared" si="0"/>
        <v>8563362.5</v>
      </c>
    </row>
    <row r="10" spans="1:4" ht="15.75" thickBot="1">
      <c r="A10" s="206">
        <v>3</v>
      </c>
      <c r="B10" s="209">
        <f t="shared" si="0"/>
        <v>50000000</v>
      </c>
      <c r="C10" s="207">
        <f t="shared" si="0"/>
        <v>8563362.5</v>
      </c>
    </row>
    <row r="11" spans="1:4">
      <c r="A11" s="205"/>
      <c r="B11" s="203"/>
      <c r="C11" s="204"/>
    </row>
    <row r="12" spans="1:4" ht="15.75" thickBot="1">
      <c r="A12" s="206"/>
      <c r="B12" s="209"/>
      <c r="C12" s="207"/>
    </row>
    <row r="13" spans="1:4">
      <c r="A13" s="90"/>
      <c r="B13" s="90"/>
      <c r="C13" s="9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1F40-E3D4-4E71-960A-8BB596697A36}">
  <sheetPr codeName="Hoja11"/>
  <dimension ref="A2:M92"/>
  <sheetViews>
    <sheetView topLeftCell="A1048576" zoomScale="134" workbookViewId="0">
      <selection activeCell="A1048576" sqref="A1:XFD1048576"/>
    </sheetView>
  </sheetViews>
  <sheetFormatPr defaultColWidth="11.5703125" defaultRowHeight="14.45" customHeight="1" zeroHeight="1"/>
  <cols>
    <col min="1" max="1" width="27.7109375" bestFit="1" customWidth="1"/>
    <col min="2" max="2" width="20.5703125" customWidth="1"/>
    <col min="3" max="3" width="17.7109375" customWidth="1"/>
    <col min="4" max="4" width="13.28515625" bestFit="1" customWidth="1"/>
    <col min="5" max="5" width="18.7109375" customWidth="1"/>
    <col min="11" max="11" width="13.28515625" bestFit="1" customWidth="1"/>
    <col min="12" max="12" width="13.7109375" bestFit="1" customWidth="1"/>
  </cols>
  <sheetData>
    <row r="2" spans="3:13" ht="15" hidden="1"/>
    <row r="3" spans="3:13" ht="15" hidden="1" customHeight="1">
      <c r="C3" s="283" t="s">
        <v>318</v>
      </c>
      <c r="D3" s="284"/>
      <c r="E3" s="284"/>
      <c r="F3" s="284"/>
      <c r="G3" s="284"/>
      <c r="H3" s="284"/>
      <c r="I3" s="284"/>
    </row>
    <row r="4" spans="3:13" ht="15" hidden="1">
      <c r="C4" s="311"/>
      <c r="D4" s="312"/>
      <c r="E4" s="312"/>
      <c r="F4" s="312"/>
      <c r="G4" s="312"/>
      <c r="H4" s="312"/>
      <c r="I4" s="312"/>
    </row>
    <row r="5" spans="3:13" ht="15" hidden="1">
      <c r="C5" s="222" t="s">
        <v>56</v>
      </c>
      <c r="D5" s="223">
        <v>10.89</v>
      </c>
      <c r="E5" s="224">
        <v>12.914999999999999</v>
      </c>
      <c r="F5" s="225">
        <v>10.461</v>
      </c>
      <c r="G5" s="226">
        <v>9.6999999999999993</v>
      </c>
      <c r="H5" s="227">
        <v>8.6999999999999993</v>
      </c>
      <c r="I5" s="30">
        <v>8</v>
      </c>
    </row>
    <row r="6" spans="3:13" ht="39.75" hidden="1" customHeight="1" thickBot="1">
      <c r="C6" s="4"/>
      <c r="D6" s="292" t="s">
        <v>57</v>
      </c>
      <c r="E6" s="293"/>
      <c r="F6" s="293"/>
      <c r="G6" s="293"/>
      <c r="H6" s="293"/>
      <c r="I6" s="294"/>
    </row>
    <row r="7" spans="3:13" ht="23.25" hidden="1" thickBot="1">
      <c r="C7" s="38" t="s">
        <v>58</v>
      </c>
      <c r="D7" s="17">
        <v>500000000</v>
      </c>
      <c r="E7" s="17">
        <v>1000000000</v>
      </c>
      <c r="F7" s="17">
        <v>2000000000</v>
      </c>
      <c r="G7" s="17">
        <v>3000000000</v>
      </c>
      <c r="H7" s="17">
        <v>4000000000</v>
      </c>
      <c r="I7" s="17">
        <v>5000000000</v>
      </c>
    </row>
    <row r="8" spans="3:13" ht="15" hidden="1">
      <c r="C8" s="39">
        <v>15000000000</v>
      </c>
      <c r="D8" s="185">
        <f>IFERROR(+D9+D9*($C$9/$C$8-1)*-0.12,0)</f>
        <v>3499784.64</v>
      </c>
      <c r="E8" s="185">
        <f>IFERROR(+E9+E9*($C$9/$C$8-1)*-0.105,0)</f>
        <v>6131367.5499999998</v>
      </c>
      <c r="F8" s="185">
        <f t="shared" ref="F8:G8" si="0">IFERROR(+F9+F9*($C$9/$C$8-1)*-0.1,0)</f>
        <v>11313767.643750001</v>
      </c>
      <c r="G8" s="185">
        <f t="shared" si="0"/>
        <v>15814599.609374996</v>
      </c>
      <c r="H8" s="40" t="s">
        <v>59</v>
      </c>
      <c r="I8" s="40" t="s">
        <v>59</v>
      </c>
      <c r="M8" s="228"/>
    </row>
    <row r="9" spans="3:13" ht="15" hidden="1">
      <c r="C9" s="39">
        <v>30000000000</v>
      </c>
      <c r="D9" s="185">
        <f>IFERROR(+D10+D10*($C$9/$C$8-1)*-0.12,0)</f>
        <v>3977028</v>
      </c>
      <c r="E9" s="185">
        <f>IFERROR(+E10+E10*($C$10/$C$9-1)*-0.4,0)</f>
        <v>6850690</v>
      </c>
      <c r="F9" s="185">
        <f>IFERROR(+F10+F10*($C$10/$C$9-1)*-0.3,0)</f>
        <v>12570852.9375</v>
      </c>
      <c r="G9" s="185">
        <f>IFERROR(+G10+G10*($C$10/$C$9-1)*-0.25,0)</f>
        <v>17571777.343749996</v>
      </c>
      <c r="H9" s="40" t="s">
        <v>59</v>
      </c>
      <c r="I9" s="40" t="s">
        <v>59</v>
      </c>
    </row>
    <row r="10" spans="3:13" ht="15" hidden="1">
      <c r="C10" s="39">
        <v>45000000000</v>
      </c>
      <c r="D10" s="185">
        <f>IFERROR(+D11+D11*($C$9/$C$8-1)*-0.17,0)</f>
        <v>4519350</v>
      </c>
      <c r="E10" s="185">
        <f>IFERROR(+E11+E11*($C$11/$C$10-1)*-0.25,0)</f>
        <v>8563362.5</v>
      </c>
      <c r="F10" s="185">
        <f>IFERROR(+F11+F11*($C$11/$C$10-1)*-0.5,0)</f>
        <v>14789238.75</v>
      </c>
      <c r="G10" s="185">
        <f>IFERROR(+G11+G11*($C$11/$C$10-1)*-0.5,0)</f>
        <v>20082031.249999996</v>
      </c>
      <c r="H10" s="40" t="s">
        <v>59</v>
      </c>
      <c r="I10" s="40" t="s">
        <v>59</v>
      </c>
    </row>
    <row r="11" spans="3:13" ht="15.75" hidden="1" thickBot="1">
      <c r="C11" s="39">
        <v>60000000000</v>
      </c>
      <c r="D11" s="187">
        <f>+$D$7*D5/1000</f>
        <v>5445000</v>
      </c>
      <c r="E11" s="185">
        <f>IFERROR(+E12+E12*($C$12/$C$11-1)*-0.52,0)</f>
        <v>9341850</v>
      </c>
      <c r="F11" s="185">
        <f>IFERROR(+F12+F12*($C$12/$C$11-1)*-0.3,0)</f>
        <v>17747086.5</v>
      </c>
      <c r="G11" s="185">
        <f>IFERROR(+G12+G12*($C$12/$C$11-1)*-0.35,0)</f>
        <v>24098437.499999996</v>
      </c>
      <c r="H11" s="185">
        <f>IFERROR(+H12+H12*($C$12/$C$11-1)*-0.29,0)</f>
        <v>29628430</v>
      </c>
      <c r="I11" s="185">
        <f>IFERROR(+I12+I12*($C$12/$C$11-1)*-0.39,0)</f>
        <v>33669000</v>
      </c>
    </row>
    <row r="12" spans="3:13" ht="15" hidden="1">
      <c r="C12" s="39">
        <v>80000000000</v>
      </c>
      <c r="D12" s="46" t="s">
        <v>59</v>
      </c>
      <c r="E12" s="185">
        <f>IFERROR(+E13+E13*($C$13/$C$12-1)*-0.5,0)</f>
        <v>11300625</v>
      </c>
      <c r="F12" s="185">
        <f>IFERROR(+F13+F13*($C$13/$C$12-1)*-0.23,0)</f>
        <v>19718985</v>
      </c>
      <c r="G12" s="185">
        <f>IFERROR(+G13+G13*($C$13/$C$12-1)*-0.25,0)</f>
        <v>27281249.999999996</v>
      </c>
      <c r="H12" s="185">
        <f>IFERROR(+H13+H13*($C$13/$C$12-1)*-0.23,0)</f>
        <v>32799000</v>
      </c>
      <c r="I12" s="185">
        <f>IFERROR(+I13+I13*($C$13/$C$12-1)*-0.13,0)</f>
        <v>38700000</v>
      </c>
    </row>
    <row r="13" spans="3:13" ht="15.75" hidden="1" thickBot="1">
      <c r="C13" s="188">
        <v>100000000000</v>
      </c>
      <c r="D13" s="47" t="s">
        <v>59</v>
      </c>
      <c r="E13" s="187">
        <f>+$E$7*E5/1000</f>
        <v>12915000</v>
      </c>
      <c r="F13" s="187">
        <f>+$F$7*F5/1000</f>
        <v>20922000</v>
      </c>
      <c r="G13" s="187">
        <f>+$G$7*G5/1000</f>
        <v>29099999.999999996</v>
      </c>
      <c r="H13" s="187">
        <f>+$H$7*H5/1000</f>
        <v>34800000</v>
      </c>
      <c r="I13" s="187">
        <f>+$I$7*I5/1000</f>
        <v>40000000</v>
      </c>
    </row>
    <row r="16" spans="3:13" ht="15" hidden="1"/>
    <row r="17" spans="1:4" ht="15.75" hidden="1" thickBot="1">
      <c r="A17" s="313" t="s">
        <v>319</v>
      </c>
      <c r="B17" s="314"/>
      <c r="C17" s="314"/>
      <c r="D17" s="315"/>
    </row>
    <row r="18" spans="1:4" ht="15" hidden="1">
      <c r="A18" t="str">
        <f>+CONCATENATE(B18,"-",C18)</f>
        <v>15000000000-500000000</v>
      </c>
      <c r="B18" s="39">
        <f t="shared" ref="B18:B23" si="1">+$C$8</f>
        <v>15000000000</v>
      </c>
      <c r="C18" s="229">
        <f>+$D$7</f>
        <v>500000000</v>
      </c>
      <c r="D18" s="230">
        <f>+D8</f>
        <v>3499784.64</v>
      </c>
    </row>
    <row r="19" spans="1:4" ht="15" hidden="1">
      <c r="A19" t="str">
        <f t="shared" ref="A19:A53" si="2">+CONCATENATE(B19,"-",C19)</f>
        <v>15000000000-1000000000</v>
      </c>
      <c r="B19" s="231">
        <f t="shared" si="1"/>
        <v>15000000000</v>
      </c>
      <c r="C19" s="232">
        <f>+$E$7</f>
        <v>1000000000</v>
      </c>
      <c r="D19" s="233">
        <f>+E8</f>
        <v>6131367.5499999998</v>
      </c>
    </row>
    <row r="20" spans="1:4" ht="15" hidden="1">
      <c r="A20" t="str">
        <f t="shared" si="2"/>
        <v>15000000000-2000000000</v>
      </c>
      <c r="B20" s="231">
        <f t="shared" si="1"/>
        <v>15000000000</v>
      </c>
      <c r="C20" s="232">
        <f>+$F$7</f>
        <v>2000000000</v>
      </c>
      <c r="D20" s="233">
        <f>+F8</f>
        <v>11313767.643750001</v>
      </c>
    </row>
    <row r="21" spans="1:4" ht="15" hidden="1">
      <c r="A21" t="str">
        <f t="shared" si="2"/>
        <v>15000000000-3000000000</v>
      </c>
      <c r="B21" s="231">
        <f t="shared" si="1"/>
        <v>15000000000</v>
      </c>
      <c r="C21" s="232">
        <f>+$G$7</f>
        <v>3000000000</v>
      </c>
      <c r="D21" s="233">
        <f>+G8</f>
        <v>15814599.609374996</v>
      </c>
    </row>
    <row r="22" spans="1:4" ht="15" hidden="1">
      <c r="A22" t="str">
        <f t="shared" si="2"/>
        <v>15000000000-4000000000</v>
      </c>
      <c r="B22" s="231">
        <f t="shared" si="1"/>
        <v>15000000000</v>
      </c>
      <c r="C22" s="232">
        <f>+$H$7</f>
        <v>4000000000</v>
      </c>
      <c r="D22" s="233" t="str">
        <f>+H8</f>
        <v>N/A</v>
      </c>
    </row>
    <row r="23" spans="1:4" ht="15.75" hidden="1" thickBot="1">
      <c r="A23" t="str">
        <f t="shared" si="2"/>
        <v>15000000000-5000000000</v>
      </c>
      <c r="B23" s="231">
        <f t="shared" si="1"/>
        <v>15000000000</v>
      </c>
      <c r="C23" s="234">
        <f>+$I$7</f>
        <v>5000000000</v>
      </c>
      <c r="D23" s="233" t="str">
        <f>+I8</f>
        <v>N/A</v>
      </c>
    </row>
    <row r="24" spans="1:4" ht="15" hidden="1">
      <c r="A24" t="str">
        <f t="shared" si="2"/>
        <v>30000000000-500000000</v>
      </c>
      <c r="B24" s="39">
        <f t="shared" ref="B24:B29" si="3">+$C$9</f>
        <v>30000000000</v>
      </c>
      <c r="C24" s="232">
        <f>+$D$7</f>
        <v>500000000</v>
      </c>
      <c r="D24" s="233">
        <f>+D9</f>
        <v>3977028</v>
      </c>
    </row>
    <row r="25" spans="1:4" ht="15" hidden="1">
      <c r="A25" t="str">
        <f t="shared" si="2"/>
        <v>30000000000-1000000000</v>
      </c>
      <c r="B25" s="39">
        <f t="shared" si="3"/>
        <v>30000000000</v>
      </c>
      <c r="C25" s="232">
        <f>+$E$7</f>
        <v>1000000000</v>
      </c>
      <c r="D25" s="233">
        <f>+E9</f>
        <v>6850690</v>
      </c>
    </row>
    <row r="26" spans="1:4" ht="15" hidden="1">
      <c r="A26" t="str">
        <f t="shared" si="2"/>
        <v>30000000000-2000000000</v>
      </c>
      <c r="B26" s="39">
        <f t="shared" si="3"/>
        <v>30000000000</v>
      </c>
      <c r="C26" s="232">
        <f>+$F$7</f>
        <v>2000000000</v>
      </c>
      <c r="D26" s="233">
        <f>+F9</f>
        <v>12570852.9375</v>
      </c>
    </row>
    <row r="27" spans="1:4" ht="15" hidden="1">
      <c r="A27" t="str">
        <f t="shared" si="2"/>
        <v>30000000000-3000000000</v>
      </c>
      <c r="B27" s="39">
        <f t="shared" si="3"/>
        <v>30000000000</v>
      </c>
      <c r="C27" s="232">
        <f>+$G$7</f>
        <v>3000000000</v>
      </c>
      <c r="D27" s="233">
        <f>+G9</f>
        <v>17571777.343749996</v>
      </c>
    </row>
    <row r="28" spans="1:4" ht="15" hidden="1">
      <c r="A28" t="str">
        <f t="shared" si="2"/>
        <v>30000000000-4000000000</v>
      </c>
      <c r="B28" s="39">
        <f t="shared" si="3"/>
        <v>30000000000</v>
      </c>
      <c r="C28" s="232">
        <f>+$H$7</f>
        <v>4000000000</v>
      </c>
      <c r="D28" s="233" t="str">
        <f>+H9</f>
        <v>N/A</v>
      </c>
    </row>
    <row r="29" spans="1:4" ht="15.75" hidden="1" thickBot="1">
      <c r="A29" t="str">
        <f t="shared" si="2"/>
        <v>30000000000-5000000000</v>
      </c>
      <c r="B29" s="39">
        <f t="shared" si="3"/>
        <v>30000000000</v>
      </c>
      <c r="C29" s="234">
        <f>+$I$7</f>
        <v>5000000000</v>
      </c>
      <c r="D29" s="233" t="str">
        <f>+I9</f>
        <v>N/A</v>
      </c>
    </row>
    <row r="30" spans="1:4" ht="15" hidden="1">
      <c r="A30" t="str">
        <f t="shared" si="2"/>
        <v>45000000000-500000000</v>
      </c>
      <c r="B30" s="39">
        <f t="shared" ref="B30:B35" si="4">+$C$10</f>
        <v>45000000000</v>
      </c>
      <c r="C30" s="232">
        <f>+$D$7</f>
        <v>500000000</v>
      </c>
      <c r="D30" s="233">
        <f>+D10</f>
        <v>4519350</v>
      </c>
    </row>
    <row r="31" spans="1:4" ht="15" hidden="1">
      <c r="A31" t="str">
        <f t="shared" si="2"/>
        <v>45000000000-1000000000</v>
      </c>
      <c r="B31" s="39">
        <f t="shared" si="4"/>
        <v>45000000000</v>
      </c>
      <c r="C31" s="232">
        <f>+$E$7</f>
        <v>1000000000</v>
      </c>
      <c r="D31" s="233">
        <f>+E10</f>
        <v>8563362.5</v>
      </c>
    </row>
    <row r="32" spans="1:4" ht="15" hidden="1">
      <c r="A32" t="str">
        <f t="shared" si="2"/>
        <v>45000000000-2000000000</v>
      </c>
      <c r="B32" s="39">
        <f t="shared" si="4"/>
        <v>45000000000</v>
      </c>
      <c r="C32" s="232">
        <f>+$F$7</f>
        <v>2000000000</v>
      </c>
      <c r="D32" s="233">
        <f>+F10</f>
        <v>14789238.75</v>
      </c>
    </row>
    <row r="33" spans="1:4" ht="15" hidden="1">
      <c r="A33" t="str">
        <f t="shared" si="2"/>
        <v>45000000000-3000000000</v>
      </c>
      <c r="B33" s="39">
        <f t="shared" si="4"/>
        <v>45000000000</v>
      </c>
      <c r="C33" s="232">
        <f>+$G$7</f>
        <v>3000000000</v>
      </c>
      <c r="D33" s="233">
        <f>+G10</f>
        <v>20082031.249999996</v>
      </c>
    </row>
    <row r="34" spans="1:4" ht="15" hidden="1">
      <c r="A34" t="str">
        <f t="shared" si="2"/>
        <v>45000000000-4000000000</v>
      </c>
      <c r="B34" s="39">
        <f t="shared" si="4"/>
        <v>45000000000</v>
      </c>
      <c r="C34" s="232">
        <f>+$H$7</f>
        <v>4000000000</v>
      </c>
      <c r="D34" s="233" t="str">
        <f>+H10</f>
        <v>N/A</v>
      </c>
    </row>
    <row r="35" spans="1:4" ht="15.75" hidden="1" thickBot="1">
      <c r="A35" t="str">
        <f t="shared" si="2"/>
        <v>45000000000-5000000000</v>
      </c>
      <c r="B35" s="39">
        <f t="shared" si="4"/>
        <v>45000000000</v>
      </c>
      <c r="C35" s="234">
        <f>+$I$7</f>
        <v>5000000000</v>
      </c>
      <c r="D35" s="233" t="str">
        <f>+I10</f>
        <v>N/A</v>
      </c>
    </row>
    <row r="36" spans="1:4" ht="15" hidden="1">
      <c r="A36" t="str">
        <f t="shared" si="2"/>
        <v>60000000000-500000000</v>
      </c>
      <c r="B36" s="39">
        <f t="shared" ref="B36:B41" si="5">+$C$11</f>
        <v>60000000000</v>
      </c>
      <c r="C36" s="232">
        <f>+$D$7</f>
        <v>500000000</v>
      </c>
      <c r="D36" s="233">
        <f>+D11</f>
        <v>5445000</v>
      </c>
    </row>
    <row r="37" spans="1:4" ht="15" hidden="1">
      <c r="A37" t="str">
        <f t="shared" si="2"/>
        <v>60000000000-1000000000</v>
      </c>
      <c r="B37" s="39">
        <f t="shared" si="5"/>
        <v>60000000000</v>
      </c>
      <c r="C37" s="232">
        <f>+$E$7</f>
        <v>1000000000</v>
      </c>
      <c r="D37" s="233">
        <f>+E11</f>
        <v>9341850</v>
      </c>
    </row>
    <row r="38" spans="1:4" ht="15" hidden="1">
      <c r="A38" t="str">
        <f t="shared" si="2"/>
        <v>60000000000-2000000000</v>
      </c>
      <c r="B38" s="39">
        <f t="shared" si="5"/>
        <v>60000000000</v>
      </c>
      <c r="C38" s="232">
        <f>+$F$7</f>
        <v>2000000000</v>
      </c>
      <c r="D38" s="233">
        <f>+F11</f>
        <v>17747086.5</v>
      </c>
    </row>
    <row r="39" spans="1:4" ht="15" hidden="1">
      <c r="A39" t="str">
        <f t="shared" si="2"/>
        <v>60000000000-3000000000</v>
      </c>
      <c r="B39" s="39">
        <f t="shared" si="5"/>
        <v>60000000000</v>
      </c>
      <c r="C39" s="232">
        <f>+$G$7</f>
        <v>3000000000</v>
      </c>
      <c r="D39" s="233">
        <f>+G11</f>
        <v>24098437.499999996</v>
      </c>
    </row>
    <row r="40" spans="1:4" ht="15" hidden="1">
      <c r="A40" t="str">
        <f t="shared" si="2"/>
        <v>60000000000-4000000000</v>
      </c>
      <c r="B40" s="39">
        <f t="shared" si="5"/>
        <v>60000000000</v>
      </c>
      <c r="C40" s="232">
        <f>+$H$7</f>
        <v>4000000000</v>
      </c>
      <c r="D40" s="233">
        <f>+H11</f>
        <v>29628430</v>
      </c>
    </row>
    <row r="41" spans="1:4" ht="15.75" hidden="1" thickBot="1">
      <c r="A41" t="str">
        <f t="shared" si="2"/>
        <v>60000000000-5000000000</v>
      </c>
      <c r="B41" s="39">
        <f t="shared" si="5"/>
        <v>60000000000</v>
      </c>
      <c r="C41" s="234">
        <f>+$I$7</f>
        <v>5000000000</v>
      </c>
      <c r="D41" s="233">
        <f>+I11</f>
        <v>33669000</v>
      </c>
    </row>
    <row r="42" spans="1:4" ht="15" hidden="1">
      <c r="A42" t="str">
        <f t="shared" si="2"/>
        <v>80000000000-500000000</v>
      </c>
      <c r="B42" s="39">
        <f t="shared" ref="B42:B47" si="6">+$C$12</f>
        <v>80000000000</v>
      </c>
      <c r="C42" s="232">
        <f>+$D$7</f>
        <v>500000000</v>
      </c>
      <c r="D42" s="233" t="str">
        <f>+D12</f>
        <v>N/A</v>
      </c>
    </row>
    <row r="43" spans="1:4" ht="15" hidden="1">
      <c r="A43" t="str">
        <f t="shared" si="2"/>
        <v>80000000000-1000000000</v>
      </c>
      <c r="B43" s="39">
        <f t="shared" si="6"/>
        <v>80000000000</v>
      </c>
      <c r="C43" s="232">
        <f>+$E$7</f>
        <v>1000000000</v>
      </c>
      <c r="D43" s="233">
        <f>+E12</f>
        <v>11300625</v>
      </c>
    </row>
    <row r="44" spans="1:4" ht="15" hidden="1">
      <c r="A44" t="str">
        <f t="shared" si="2"/>
        <v>80000000000-2000000000</v>
      </c>
      <c r="B44" s="39">
        <f t="shared" si="6"/>
        <v>80000000000</v>
      </c>
      <c r="C44" s="232">
        <f>+$F$7</f>
        <v>2000000000</v>
      </c>
      <c r="D44" s="233">
        <f>+F12</f>
        <v>19718985</v>
      </c>
    </row>
    <row r="45" spans="1:4" ht="15" hidden="1">
      <c r="A45" t="str">
        <f t="shared" si="2"/>
        <v>80000000000-3000000000</v>
      </c>
      <c r="B45" s="39">
        <f t="shared" si="6"/>
        <v>80000000000</v>
      </c>
      <c r="C45" s="232">
        <f>+$G$7</f>
        <v>3000000000</v>
      </c>
      <c r="D45" s="233">
        <f>+G12</f>
        <v>27281249.999999996</v>
      </c>
    </row>
    <row r="46" spans="1:4" ht="15" hidden="1">
      <c r="A46" t="str">
        <f t="shared" si="2"/>
        <v>80000000000-4000000000</v>
      </c>
      <c r="B46" s="39">
        <f t="shared" si="6"/>
        <v>80000000000</v>
      </c>
      <c r="C46" s="232">
        <f>+$H$7</f>
        <v>4000000000</v>
      </c>
      <c r="D46" s="233">
        <f>+H12</f>
        <v>32799000</v>
      </c>
    </row>
    <row r="47" spans="1:4" ht="15.75" hidden="1" thickBot="1">
      <c r="A47" t="str">
        <f t="shared" si="2"/>
        <v>80000000000-5000000000</v>
      </c>
      <c r="B47" s="39">
        <f t="shared" si="6"/>
        <v>80000000000</v>
      </c>
      <c r="C47" s="234">
        <f>+$I$7</f>
        <v>5000000000</v>
      </c>
      <c r="D47" s="233">
        <f>+I12</f>
        <v>38700000</v>
      </c>
    </row>
    <row r="48" spans="1:4" ht="15" hidden="1">
      <c r="A48" t="str">
        <f t="shared" si="2"/>
        <v>100000000000-500000000</v>
      </c>
      <c r="B48" s="39">
        <f t="shared" ref="B48:B53" si="7">+$C$13</f>
        <v>100000000000</v>
      </c>
      <c r="C48" s="232">
        <f>+$D$7</f>
        <v>500000000</v>
      </c>
      <c r="D48" s="233" t="str">
        <f>+D13</f>
        <v>N/A</v>
      </c>
    </row>
    <row r="49" spans="1:4" ht="15" hidden="1">
      <c r="A49" t="str">
        <f t="shared" si="2"/>
        <v>100000000000-1000000000</v>
      </c>
      <c r="B49" s="39">
        <f t="shared" si="7"/>
        <v>100000000000</v>
      </c>
      <c r="C49" s="232">
        <f>+$E$7</f>
        <v>1000000000</v>
      </c>
      <c r="D49" s="233">
        <f>+E13</f>
        <v>12915000</v>
      </c>
    </row>
    <row r="50" spans="1:4" ht="15" hidden="1">
      <c r="A50" t="str">
        <f t="shared" si="2"/>
        <v>100000000000-2000000000</v>
      </c>
      <c r="B50" s="39">
        <f t="shared" si="7"/>
        <v>100000000000</v>
      </c>
      <c r="C50" s="232">
        <f>+$F$7</f>
        <v>2000000000</v>
      </c>
      <c r="D50" s="233">
        <f>+F13</f>
        <v>20922000</v>
      </c>
    </row>
    <row r="51" spans="1:4" ht="15" hidden="1">
      <c r="A51" t="str">
        <f t="shared" si="2"/>
        <v>100000000000-3000000000</v>
      </c>
      <c r="B51" s="39">
        <f t="shared" si="7"/>
        <v>100000000000</v>
      </c>
      <c r="C51" s="232">
        <f>+$G$7</f>
        <v>3000000000</v>
      </c>
      <c r="D51" s="233">
        <f>+G13</f>
        <v>29099999.999999996</v>
      </c>
    </row>
    <row r="52" spans="1:4" ht="15" hidden="1">
      <c r="A52" t="str">
        <f t="shared" si="2"/>
        <v>100000000000-4000000000</v>
      </c>
      <c r="B52" s="39">
        <f t="shared" si="7"/>
        <v>100000000000</v>
      </c>
      <c r="C52" s="232">
        <f>+$H$7</f>
        <v>4000000000</v>
      </c>
      <c r="D52" s="233">
        <f>+H13</f>
        <v>34800000</v>
      </c>
    </row>
    <row r="53" spans="1:4" ht="15.75" hidden="1" thickBot="1">
      <c r="A53" t="str">
        <f t="shared" si="2"/>
        <v>100000000000-5000000000</v>
      </c>
      <c r="B53" s="188">
        <f t="shared" si="7"/>
        <v>100000000000</v>
      </c>
      <c r="C53" s="234">
        <f>+$I$7</f>
        <v>5000000000</v>
      </c>
      <c r="D53" s="235">
        <f>+I13</f>
        <v>40000000</v>
      </c>
    </row>
    <row r="55" spans="1:4" ht="15" hidden="1"/>
    <row r="56" spans="1:4" ht="15.75" hidden="1" thickBot="1">
      <c r="A56" s="316" t="s">
        <v>320</v>
      </c>
      <c r="B56" s="317"/>
      <c r="C56" s="317"/>
      <c r="D56" s="318"/>
    </row>
    <row r="57" spans="1:4" ht="15" hidden="1">
      <c r="A57" t="str">
        <f>+CONCATENATE(B57,"-",C57)</f>
        <v>15000000000-500000000</v>
      </c>
      <c r="B57" s="39">
        <f t="shared" ref="B57:B62" si="8">+$C$8</f>
        <v>15000000000</v>
      </c>
      <c r="C57" s="229">
        <f>+$D$7</f>
        <v>500000000</v>
      </c>
      <c r="D57" s="230">
        <v>35000000</v>
      </c>
    </row>
    <row r="58" spans="1:4" ht="15" hidden="1">
      <c r="A58" t="str">
        <f t="shared" ref="A58:A92" si="9">+CONCATENATE(B58,"-",C58)</f>
        <v>15000000000-1000000000</v>
      </c>
      <c r="B58" s="231">
        <f t="shared" si="8"/>
        <v>15000000000</v>
      </c>
      <c r="C58" s="232">
        <f>+$E$7</f>
        <v>1000000000</v>
      </c>
      <c r="D58" s="233">
        <v>50000000</v>
      </c>
    </row>
    <row r="59" spans="1:4" ht="15" hidden="1">
      <c r="A59" t="str">
        <f t="shared" si="9"/>
        <v>15000000000-2000000000</v>
      </c>
      <c r="B59" s="231">
        <f t="shared" si="8"/>
        <v>15000000000</v>
      </c>
      <c r="C59" s="232">
        <f>+$F$7</f>
        <v>2000000000</v>
      </c>
      <c r="D59" s="233">
        <v>55000000</v>
      </c>
    </row>
    <row r="60" spans="1:4" ht="15" hidden="1">
      <c r="A60" t="str">
        <f t="shared" si="9"/>
        <v>15000000000-3000000000</v>
      </c>
      <c r="B60" s="231">
        <f t="shared" si="8"/>
        <v>15000000000</v>
      </c>
      <c r="C60" s="232">
        <f>+$G$7</f>
        <v>3000000000</v>
      </c>
      <c r="D60" s="233">
        <v>60000000</v>
      </c>
    </row>
    <row r="61" spans="1:4" ht="15" hidden="1">
      <c r="A61" t="str">
        <f t="shared" si="9"/>
        <v>15000000000-4000000000</v>
      </c>
      <c r="B61" s="231">
        <f t="shared" si="8"/>
        <v>15000000000</v>
      </c>
      <c r="C61" s="232">
        <f>+$H$7</f>
        <v>4000000000</v>
      </c>
      <c r="D61" s="233" t="s">
        <v>59</v>
      </c>
    </row>
    <row r="62" spans="1:4" ht="15.75" hidden="1" thickBot="1">
      <c r="A62" t="str">
        <f t="shared" si="9"/>
        <v>15000000000-5000000000</v>
      </c>
      <c r="B62" s="231">
        <f t="shared" si="8"/>
        <v>15000000000</v>
      </c>
      <c r="C62" s="234">
        <f>+$I$7</f>
        <v>5000000000</v>
      </c>
      <c r="D62" s="233" t="s">
        <v>59</v>
      </c>
    </row>
    <row r="63" spans="1:4" ht="15" hidden="1">
      <c r="A63" t="str">
        <f t="shared" si="9"/>
        <v>30000000000-500000000</v>
      </c>
      <c r="B63" s="39">
        <f t="shared" ref="B63:B68" si="10">+$C$9</f>
        <v>30000000000</v>
      </c>
      <c r="C63" s="232">
        <f>+$D$7</f>
        <v>500000000</v>
      </c>
      <c r="D63" s="233">
        <v>35000000</v>
      </c>
    </row>
    <row r="64" spans="1:4" ht="15" hidden="1">
      <c r="A64" t="str">
        <f t="shared" si="9"/>
        <v>30000000000-1000000000</v>
      </c>
      <c r="B64" s="39">
        <f t="shared" si="10"/>
        <v>30000000000</v>
      </c>
      <c r="C64" s="232">
        <f>+$E$7</f>
        <v>1000000000</v>
      </c>
      <c r="D64" s="233">
        <v>50000000</v>
      </c>
    </row>
    <row r="65" spans="1:4" ht="15" hidden="1">
      <c r="A65" t="str">
        <f t="shared" si="9"/>
        <v>30000000000-2000000000</v>
      </c>
      <c r="B65" s="39">
        <f t="shared" si="10"/>
        <v>30000000000</v>
      </c>
      <c r="C65" s="232">
        <f>+$F$7</f>
        <v>2000000000</v>
      </c>
      <c r="D65" s="233">
        <v>55000000</v>
      </c>
    </row>
    <row r="66" spans="1:4" ht="15" hidden="1">
      <c r="A66" t="str">
        <f t="shared" si="9"/>
        <v>30000000000-3000000000</v>
      </c>
      <c r="B66" s="39">
        <f t="shared" si="10"/>
        <v>30000000000</v>
      </c>
      <c r="C66" s="232">
        <f>+$G$7</f>
        <v>3000000000</v>
      </c>
      <c r="D66" s="233">
        <v>60000000</v>
      </c>
    </row>
    <row r="67" spans="1:4" ht="15" hidden="1">
      <c r="A67" t="str">
        <f t="shared" si="9"/>
        <v>30000000000-4000000000</v>
      </c>
      <c r="B67" s="39">
        <f t="shared" si="10"/>
        <v>30000000000</v>
      </c>
      <c r="C67" s="232">
        <f>+$H$7</f>
        <v>4000000000</v>
      </c>
      <c r="D67" s="233" t="s">
        <v>59</v>
      </c>
    </row>
    <row r="68" spans="1:4" ht="15.75" hidden="1" thickBot="1">
      <c r="A68" t="str">
        <f t="shared" si="9"/>
        <v>30000000000-5000000000</v>
      </c>
      <c r="B68" s="39">
        <f t="shared" si="10"/>
        <v>30000000000</v>
      </c>
      <c r="C68" s="234">
        <f>+$I$7</f>
        <v>5000000000</v>
      </c>
      <c r="D68" s="233" t="s">
        <v>59</v>
      </c>
    </row>
    <row r="69" spans="1:4" ht="15" hidden="1">
      <c r="A69" t="str">
        <f t="shared" si="9"/>
        <v>45000000000-500000000</v>
      </c>
      <c r="B69" s="39">
        <f t="shared" ref="B69:B74" si="11">+$C$10</f>
        <v>45000000000</v>
      </c>
      <c r="C69" s="232">
        <f>+$D$7</f>
        <v>500000000</v>
      </c>
      <c r="D69" s="233">
        <v>35000000</v>
      </c>
    </row>
    <row r="70" spans="1:4" ht="15" hidden="1">
      <c r="A70" t="str">
        <f t="shared" si="9"/>
        <v>45000000000-1000000000</v>
      </c>
      <c r="B70" s="39">
        <f t="shared" si="11"/>
        <v>45000000000</v>
      </c>
      <c r="C70" s="232">
        <f>+$E$7</f>
        <v>1000000000</v>
      </c>
      <c r="D70" s="233">
        <v>50000000</v>
      </c>
    </row>
    <row r="71" spans="1:4" ht="15" hidden="1">
      <c r="A71" t="str">
        <f t="shared" si="9"/>
        <v>45000000000-2000000000</v>
      </c>
      <c r="B71" s="39">
        <f t="shared" si="11"/>
        <v>45000000000</v>
      </c>
      <c r="C71" s="232">
        <f>+$F$7</f>
        <v>2000000000</v>
      </c>
      <c r="D71" s="233">
        <v>55000000</v>
      </c>
    </row>
    <row r="72" spans="1:4" ht="15" hidden="1">
      <c r="A72" t="str">
        <f t="shared" si="9"/>
        <v>45000000000-3000000000</v>
      </c>
      <c r="B72" s="39">
        <f t="shared" si="11"/>
        <v>45000000000</v>
      </c>
      <c r="C72" s="232">
        <f>+$G$7</f>
        <v>3000000000</v>
      </c>
      <c r="D72" s="233">
        <v>60000000</v>
      </c>
    </row>
    <row r="73" spans="1:4" ht="15" hidden="1">
      <c r="A73" t="str">
        <f t="shared" si="9"/>
        <v>45000000000-4000000000</v>
      </c>
      <c r="B73" s="39">
        <f t="shared" si="11"/>
        <v>45000000000</v>
      </c>
      <c r="C73" s="232">
        <f>+$H$7</f>
        <v>4000000000</v>
      </c>
      <c r="D73" s="233" t="s">
        <v>59</v>
      </c>
    </row>
    <row r="74" spans="1:4" ht="15.75" hidden="1" thickBot="1">
      <c r="A74" t="str">
        <f t="shared" si="9"/>
        <v>45000000000-5000000000</v>
      </c>
      <c r="B74" s="39">
        <f t="shared" si="11"/>
        <v>45000000000</v>
      </c>
      <c r="C74" s="234">
        <f>+$I$7</f>
        <v>5000000000</v>
      </c>
      <c r="D74" s="233" t="s">
        <v>59</v>
      </c>
    </row>
    <row r="75" spans="1:4" ht="15" hidden="1">
      <c r="A75" t="str">
        <f t="shared" si="9"/>
        <v>60000000000-500000000</v>
      </c>
      <c r="B75" s="39">
        <f t="shared" ref="B75:B80" si="12">+$C$11</f>
        <v>60000000000</v>
      </c>
      <c r="C75" s="232">
        <f>+$D$7</f>
        <v>500000000</v>
      </c>
      <c r="D75" s="233">
        <v>35000000</v>
      </c>
    </row>
    <row r="76" spans="1:4" ht="15" hidden="1">
      <c r="A76" t="str">
        <f t="shared" si="9"/>
        <v>60000000000-1000000000</v>
      </c>
      <c r="B76" s="39">
        <f t="shared" si="12"/>
        <v>60000000000</v>
      </c>
      <c r="C76" s="232">
        <f>+$E$7</f>
        <v>1000000000</v>
      </c>
      <c r="D76" s="233">
        <v>50000000</v>
      </c>
    </row>
    <row r="77" spans="1:4" ht="15" hidden="1">
      <c r="A77" t="str">
        <f t="shared" si="9"/>
        <v>60000000000-2000000000</v>
      </c>
      <c r="B77" s="39">
        <f t="shared" si="12"/>
        <v>60000000000</v>
      </c>
      <c r="C77" s="232">
        <f>+$F$7</f>
        <v>2000000000</v>
      </c>
      <c r="D77" s="233">
        <v>55000000</v>
      </c>
    </row>
    <row r="78" spans="1:4" ht="15" hidden="1">
      <c r="A78" t="str">
        <f t="shared" si="9"/>
        <v>60000000000-3000000000</v>
      </c>
      <c r="B78" s="39">
        <f t="shared" si="12"/>
        <v>60000000000</v>
      </c>
      <c r="C78" s="232">
        <f>+$G$7</f>
        <v>3000000000</v>
      </c>
      <c r="D78" s="233">
        <v>60000000</v>
      </c>
    </row>
    <row r="79" spans="1:4" ht="15" hidden="1">
      <c r="A79" t="str">
        <f t="shared" si="9"/>
        <v>60000000000-4000000000</v>
      </c>
      <c r="B79" s="39">
        <f t="shared" si="12"/>
        <v>60000000000</v>
      </c>
      <c r="C79" s="232">
        <f>+$H$7</f>
        <v>4000000000</v>
      </c>
      <c r="D79" s="233">
        <v>70000000</v>
      </c>
    </row>
    <row r="80" spans="1:4" ht="15.75" hidden="1" thickBot="1">
      <c r="A80" t="str">
        <f t="shared" si="9"/>
        <v>60000000000-5000000000</v>
      </c>
      <c r="B80" s="39">
        <f t="shared" si="12"/>
        <v>60000000000</v>
      </c>
      <c r="C80" s="234">
        <f>+$I$7</f>
        <v>5000000000</v>
      </c>
      <c r="D80" s="233">
        <v>75000000</v>
      </c>
    </row>
    <row r="81" spans="1:4" ht="15" hidden="1">
      <c r="A81" t="str">
        <f t="shared" si="9"/>
        <v>80000000000-500000000</v>
      </c>
      <c r="B81" s="39">
        <f t="shared" ref="B81:B86" si="13">+$C$12</f>
        <v>80000000000</v>
      </c>
      <c r="C81" s="232">
        <f>+$D$7</f>
        <v>500000000</v>
      </c>
      <c r="D81" s="233">
        <v>35000000</v>
      </c>
    </row>
    <row r="82" spans="1:4" ht="15" hidden="1">
      <c r="A82" t="str">
        <f t="shared" si="9"/>
        <v>80000000000-1000000000</v>
      </c>
      <c r="B82" s="39">
        <f t="shared" si="13"/>
        <v>80000000000</v>
      </c>
      <c r="C82" s="232">
        <f>+$E$7</f>
        <v>1000000000</v>
      </c>
      <c r="D82" s="233">
        <v>50000000</v>
      </c>
    </row>
    <row r="83" spans="1:4" ht="15" hidden="1">
      <c r="A83" t="str">
        <f t="shared" si="9"/>
        <v>80000000000-2000000000</v>
      </c>
      <c r="B83" s="39">
        <f t="shared" si="13"/>
        <v>80000000000</v>
      </c>
      <c r="C83" s="232">
        <f>+$F$7</f>
        <v>2000000000</v>
      </c>
      <c r="D83" s="233">
        <v>55000000</v>
      </c>
    </row>
    <row r="84" spans="1:4" ht="15" hidden="1">
      <c r="A84" t="str">
        <f t="shared" si="9"/>
        <v>80000000000-3000000000</v>
      </c>
      <c r="B84" s="39">
        <f t="shared" si="13"/>
        <v>80000000000</v>
      </c>
      <c r="C84" s="232">
        <f>+$G$7</f>
        <v>3000000000</v>
      </c>
      <c r="D84" s="233">
        <v>60000000</v>
      </c>
    </row>
    <row r="85" spans="1:4" ht="15" hidden="1">
      <c r="A85" t="str">
        <f t="shared" si="9"/>
        <v>80000000000-4000000000</v>
      </c>
      <c r="B85" s="39">
        <f t="shared" si="13"/>
        <v>80000000000</v>
      </c>
      <c r="C85" s="232">
        <f>+$H$7</f>
        <v>4000000000</v>
      </c>
      <c r="D85" s="233">
        <v>70000000</v>
      </c>
    </row>
    <row r="86" spans="1:4" ht="15.75" hidden="1" thickBot="1">
      <c r="A86" t="str">
        <f t="shared" si="9"/>
        <v>80000000000-5000000000</v>
      </c>
      <c r="B86" s="39">
        <f t="shared" si="13"/>
        <v>80000000000</v>
      </c>
      <c r="C86" s="234">
        <f>+$I$7</f>
        <v>5000000000</v>
      </c>
      <c r="D86" s="233">
        <v>75000000</v>
      </c>
    </row>
    <row r="87" spans="1:4" ht="15" hidden="1">
      <c r="A87" t="str">
        <f t="shared" si="9"/>
        <v>100000000000-500000000</v>
      </c>
      <c r="B87" s="39">
        <f t="shared" ref="B87:B92" si="14">+$C$13</f>
        <v>100000000000</v>
      </c>
      <c r="C87" s="232">
        <f>+$D$7</f>
        <v>500000000</v>
      </c>
      <c r="D87" s="233">
        <v>35000000</v>
      </c>
    </row>
    <row r="88" spans="1:4" ht="15" hidden="1">
      <c r="A88" t="str">
        <f t="shared" si="9"/>
        <v>100000000000-1000000000</v>
      </c>
      <c r="B88" s="39">
        <f t="shared" si="14"/>
        <v>100000000000</v>
      </c>
      <c r="C88" s="232">
        <f>+$E$7</f>
        <v>1000000000</v>
      </c>
      <c r="D88" s="233">
        <v>50000000</v>
      </c>
    </row>
    <row r="89" spans="1:4" ht="15" hidden="1">
      <c r="A89" t="str">
        <f t="shared" si="9"/>
        <v>100000000000-2000000000</v>
      </c>
      <c r="B89" s="39">
        <f t="shared" si="14"/>
        <v>100000000000</v>
      </c>
      <c r="C89" s="232">
        <f>+$F$7</f>
        <v>2000000000</v>
      </c>
      <c r="D89" s="233">
        <v>55000000</v>
      </c>
    </row>
    <row r="90" spans="1:4" ht="15" hidden="1">
      <c r="A90" t="str">
        <f t="shared" si="9"/>
        <v>100000000000-3000000000</v>
      </c>
      <c r="B90" s="39">
        <f t="shared" si="14"/>
        <v>100000000000</v>
      </c>
      <c r="C90" s="232">
        <f>+$G$7</f>
        <v>3000000000</v>
      </c>
      <c r="D90" s="233">
        <v>60000000</v>
      </c>
    </row>
    <row r="91" spans="1:4" ht="15" hidden="1">
      <c r="A91" t="str">
        <f t="shared" si="9"/>
        <v>100000000000-4000000000</v>
      </c>
      <c r="B91" s="39">
        <f t="shared" si="14"/>
        <v>100000000000</v>
      </c>
      <c r="C91" s="232">
        <f>+$H$7</f>
        <v>4000000000</v>
      </c>
      <c r="D91" s="233">
        <v>70000000</v>
      </c>
    </row>
    <row r="92" spans="1:4" ht="15.75" hidden="1" thickBot="1">
      <c r="A92" t="str">
        <f t="shared" si="9"/>
        <v>100000000000-5000000000</v>
      </c>
      <c r="B92" s="188">
        <f t="shared" si="14"/>
        <v>100000000000</v>
      </c>
      <c r="C92" s="234">
        <f>+$I$7</f>
        <v>5000000000</v>
      </c>
      <c r="D92" s="235">
        <v>75000000</v>
      </c>
    </row>
  </sheetData>
  <mergeCells count="4">
    <mergeCell ref="C3:I4"/>
    <mergeCell ref="D6:I6"/>
    <mergeCell ref="A17:D17"/>
    <mergeCell ref="A56:D5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3293-6D90-4C7C-BC90-86CBC932A839}">
  <sheetPr codeName="Hoja9"/>
  <dimension ref="A1:H88"/>
  <sheetViews>
    <sheetView topLeftCell="A17" zoomScale="68" zoomScaleNormal="68" workbookViewId="0">
      <selection activeCell="I31" sqref="I31"/>
    </sheetView>
  </sheetViews>
  <sheetFormatPr defaultColWidth="11.42578125" defaultRowHeight="15"/>
  <cols>
    <col min="1" max="1" width="11.42578125" style="4"/>
    <col min="2" max="2" width="37.7109375" style="4" customWidth="1"/>
    <col min="3" max="3" width="90.5703125" style="4" bestFit="1" customWidth="1"/>
    <col min="4" max="4" width="16.7109375" style="4" bestFit="1" customWidth="1"/>
    <col min="5" max="8" width="18.28515625" style="4" bestFit="1" customWidth="1"/>
    <col min="9" max="16384" width="11.42578125" style="4"/>
  </cols>
  <sheetData>
    <row r="1" spans="1:8">
      <c r="A1" s="4" t="s">
        <v>33</v>
      </c>
    </row>
    <row r="2" spans="1:8">
      <c r="A2" s="4" t="s">
        <v>36</v>
      </c>
      <c r="B2" s="1" t="s">
        <v>252</v>
      </c>
      <c r="C2" s="2" t="e">
        <v>#REF!</v>
      </c>
    </row>
    <row r="3" spans="1:8">
      <c r="A3" s="4" t="s">
        <v>59</v>
      </c>
      <c r="C3" s="2"/>
    </row>
    <row r="4" spans="1:8">
      <c r="B4" s="92" t="s">
        <v>253</v>
      </c>
      <c r="C4" s="2">
        <v>1</v>
      </c>
      <c r="D4" s="7">
        <v>500000000</v>
      </c>
      <c r="E4" s="7">
        <v>1000000000</v>
      </c>
      <c r="F4" s="7"/>
      <c r="G4" s="7"/>
      <c r="H4" s="7"/>
    </row>
    <row r="5" spans="1:8">
      <c r="B5" s="92" t="s">
        <v>254</v>
      </c>
      <c r="C5" s="2">
        <v>2</v>
      </c>
      <c r="D5" s="7">
        <v>500000000</v>
      </c>
      <c r="E5" s="7">
        <v>1000000000</v>
      </c>
      <c r="F5" s="7">
        <v>2000000000</v>
      </c>
      <c r="G5" s="7"/>
      <c r="H5" s="7"/>
    </row>
    <row r="6" spans="1:8">
      <c r="B6" s="92" t="s">
        <v>255</v>
      </c>
      <c r="C6" s="2">
        <v>3</v>
      </c>
      <c r="D6" s="7">
        <v>500000000</v>
      </c>
      <c r="E6" s="7">
        <v>1000000000</v>
      </c>
      <c r="F6" s="7">
        <v>2000000000</v>
      </c>
      <c r="G6" s="7">
        <v>3000000000</v>
      </c>
      <c r="H6" s="7"/>
    </row>
    <row r="7" spans="1:8">
      <c r="B7" s="92" t="s">
        <v>256</v>
      </c>
      <c r="C7" s="2">
        <v>4</v>
      </c>
      <c r="D7" s="7">
        <v>500000000</v>
      </c>
      <c r="E7" s="7">
        <v>1000000000</v>
      </c>
      <c r="F7" s="7">
        <v>2000000000</v>
      </c>
      <c r="G7" s="7">
        <v>3000000000</v>
      </c>
      <c r="H7" s="7"/>
    </row>
    <row r="8" spans="1:8">
      <c r="B8" s="92" t="s">
        <v>257</v>
      </c>
      <c r="C8" s="2">
        <v>5</v>
      </c>
      <c r="D8" s="7">
        <v>500000000</v>
      </c>
      <c r="E8" s="7">
        <v>1000000000</v>
      </c>
      <c r="F8" s="7">
        <v>2000000000</v>
      </c>
      <c r="G8" s="7">
        <v>3000000000</v>
      </c>
      <c r="H8" s="7">
        <v>5000000000</v>
      </c>
    </row>
    <row r="9" spans="1:8">
      <c r="B9" s="92" t="s">
        <v>258</v>
      </c>
      <c r="C9" s="2">
        <v>6</v>
      </c>
      <c r="D9" s="7">
        <v>500000000</v>
      </c>
      <c r="E9" s="7">
        <v>1000000000</v>
      </c>
      <c r="F9" s="7">
        <v>2000000000</v>
      </c>
      <c r="G9" s="7">
        <v>3000000000</v>
      </c>
      <c r="H9" s="7">
        <v>5000000000</v>
      </c>
    </row>
    <row r="10" spans="1:8">
      <c r="B10" s="92" t="s">
        <v>259</v>
      </c>
      <c r="C10" s="2">
        <v>7</v>
      </c>
      <c r="D10" s="7">
        <v>500000000</v>
      </c>
      <c r="E10" s="7">
        <v>1000000000</v>
      </c>
      <c r="F10" s="7">
        <v>2000000000</v>
      </c>
      <c r="G10" s="7">
        <v>3000000000</v>
      </c>
      <c r="H10" s="7">
        <v>5000000000</v>
      </c>
    </row>
    <row r="13" spans="1:8">
      <c r="B13" s="1" t="s">
        <v>260</v>
      </c>
    </row>
    <row r="14" spans="1:8">
      <c r="B14" s="7">
        <v>500000000</v>
      </c>
      <c r="C14" s="7">
        <v>25000000</v>
      </c>
      <c r="D14" s="2">
        <v>1</v>
      </c>
    </row>
    <row r="15" spans="1:8">
      <c r="B15" s="7">
        <v>1000000000</v>
      </c>
      <c r="C15" s="7">
        <v>35000000</v>
      </c>
      <c r="D15" s="2">
        <v>2</v>
      </c>
    </row>
    <row r="16" spans="1:8">
      <c r="B16" s="7">
        <v>2000000000</v>
      </c>
      <c r="C16" s="7">
        <v>50000000</v>
      </c>
      <c r="D16" s="2">
        <v>3</v>
      </c>
    </row>
    <row r="17" spans="2:8">
      <c r="B17" s="7">
        <v>3000000000</v>
      </c>
      <c r="C17" s="7">
        <v>50000000</v>
      </c>
      <c r="D17" s="2">
        <v>4</v>
      </c>
    </row>
    <row r="18" spans="2:8">
      <c r="B18" s="7">
        <v>5000000000</v>
      </c>
      <c r="C18" s="7">
        <v>75000000</v>
      </c>
      <c r="D18" s="2">
        <v>5</v>
      </c>
    </row>
    <row r="24" spans="2:8">
      <c r="B24" s="4" t="s">
        <v>26</v>
      </c>
    </row>
    <row r="26" spans="2:8">
      <c r="B26" s="4" t="s">
        <v>261</v>
      </c>
      <c r="D26" s="7">
        <v>500000000</v>
      </c>
      <c r="E26" s="7">
        <v>1000000000</v>
      </c>
      <c r="F26" s="7">
        <v>2000000000</v>
      </c>
      <c r="G26" s="7">
        <v>3000000000</v>
      </c>
      <c r="H26" s="7">
        <v>5000000000</v>
      </c>
    </row>
    <row r="27" spans="2:8">
      <c r="B27" s="4" t="s">
        <v>28</v>
      </c>
      <c r="C27" s="4" t="s">
        <v>253</v>
      </c>
      <c r="D27" s="7">
        <v>2800000</v>
      </c>
      <c r="E27" s="7">
        <v>4200000</v>
      </c>
      <c r="F27" s="7"/>
      <c r="G27" s="7"/>
      <c r="H27" s="7"/>
    </row>
    <row r="28" spans="2:8">
      <c r="C28" s="4" t="s">
        <v>254</v>
      </c>
      <c r="D28" s="7">
        <v>3025000</v>
      </c>
      <c r="E28" s="7">
        <v>4537500</v>
      </c>
      <c r="F28" s="7">
        <v>6810000</v>
      </c>
      <c r="G28" s="7"/>
      <c r="H28" s="7"/>
    </row>
    <row r="29" spans="2:8">
      <c r="C29" s="4" t="s">
        <v>255</v>
      </c>
      <c r="D29" s="7">
        <v>3630000</v>
      </c>
      <c r="E29" s="7">
        <v>5445000</v>
      </c>
      <c r="F29" s="7">
        <v>8167500</v>
      </c>
      <c r="G29" s="7">
        <v>10210000</v>
      </c>
      <c r="H29" s="7"/>
    </row>
    <row r="30" spans="2:8">
      <c r="C30" s="4" t="s">
        <v>256</v>
      </c>
      <c r="D30" s="7">
        <v>4537500</v>
      </c>
      <c r="E30" s="7">
        <v>6806250</v>
      </c>
      <c r="F30" s="7">
        <v>10210000</v>
      </c>
      <c r="G30" s="7">
        <v>12762000</v>
      </c>
      <c r="H30" s="7"/>
    </row>
    <row r="31" spans="2:8">
      <c r="C31" s="4" t="s">
        <v>257</v>
      </c>
      <c r="D31" s="7">
        <v>5445000</v>
      </c>
      <c r="E31" s="7">
        <v>8167500</v>
      </c>
      <c r="F31" s="7">
        <v>12251250</v>
      </c>
      <c r="G31" s="7">
        <v>15315000</v>
      </c>
      <c r="H31" s="7">
        <v>20420000</v>
      </c>
    </row>
    <row r="32" spans="2:8">
      <c r="C32" s="4" t="s">
        <v>258</v>
      </c>
      <c r="D32" s="7">
        <v>6262000</v>
      </c>
      <c r="E32" s="7">
        <v>9395000</v>
      </c>
      <c r="F32" s="7">
        <v>14090000</v>
      </c>
      <c r="G32" s="7">
        <v>17612000</v>
      </c>
      <c r="H32" s="7">
        <v>23482000</v>
      </c>
    </row>
    <row r="33" spans="2:8">
      <c r="C33" s="4" t="s">
        <v>259</v>
      </c>
      <c r="D33" s="7">
        <v>6890000</v>
      </c>
      <c r="E33" s="7">
        <v>10332000</v>
      </c>
      <c r="F33" s="7">
        <v>15498000</v>
      </c>
      <c r="G33" s="7">
        <v>19374000</v>
      </c>
      <c r="H33" s="7">
        <v>25830000</v>
      </c>
    </row>
    <row r="34" spans="2:8">
      <c r="B34" s="4" t="s">
        <v>262</v>
      </c>
      <c r="D34" s="7">
        <v>25000000</v>
      </c>
      <c r="E34" s="7">
        <v>35000000</v>
      </c>
      <c r="F34" s="7">
        <v>50000000</v>
      </c>
      <c r="G34" s="7"/>
      <c r="H34" s="7">
        <v>75000000</v>
      </c>
    </row>
    <row r="36" spans="2:8">
      <c r="B36" s="4" t="s">
        <v>92</v>
      </c>
    </row>
    <row r="37" spans="2:8">
      <c r="B37" s="4" t="s">
        <v>263</v>
      </c>
      <c r="C37" s="7"/>
    </row>
    <row r="38" spans="2:8">
      <c r="B38" s="4" t="s">
        <v>32</v>
      </c>
    </row>
    <row r="39" spans="2:8">
      <c r="B39" s="4" t="s">
        <v>35</v>
      </c>
    </row>
    <row r="46" spans="2:8">
      <c r="B46" t="s">
        <v>264</v>
      </c>
      <c r="C46" t="s">
        <v>265</v>
      </c>
      <c r="D46" t="s">
        <v>266</v>
      </c>
    </row>
    <row r="47" spans="2:8">
      <c r="B47" s="220" t="s">
        <v>267</v>
      </c>
      <c r="C47" t="s">
        <v>268</v>
      </c>
      <c r="D47" s="221">
        <v>0</v>
      </c>
    </row>
    <row r="48" spans="2:8">
      <c r="B48"/>
      <c r="C48" t="s">
        <v>269</v>
      </c>
      <c r="D48" s="221">
        <v>0</v>
      </c>
    </row>
    <row r="49" spans="2:4">
      <c r="B49"/>
      <c r="C49" t="s">
        <v>270</v>
      </c>
      <c r="D49" s="221">
        <v>0</v>
      </c>
    </row>
    <row r="50" spans="2:4">
      <c r="B50"/>
      <c r="C50" t="s">
        <v>271</v>
      </c>
      <c r="D50" s="221">
        <v>0</v>
      </c>
    </row>
    <row r="51" spans="2:4">
      <c r="B51"/>
      <c r="C51" t="s">
        <v>272</v>
      </c>
      <c r="D51" s="221">
        <v>0</v>
      </c>
    </row>
    <row r="52" spans="2:4">
      <c r="B52" s="220" t="s">
        <v>273</v>
      </c>
      <c r="C52" t="s">
        <v>274</v>
      </c>
      <c r="D52" s="221">
        <v>0</v>
      </c>
    </row>
    <row r="53" spans="2:4">
      <c r="B53"/>
      <c r="C53" t="s">
        <v>275</v>
      </c>
      <c r="D53" s="221">
        <v>0</v>
      </c>
    </row>
    <row r="54" spans="2:4">
      <c r="B54"/>
      <c r="C54" t="s">
        <v>276</v>
      </c>
      <c r="D54" s="221">
        <v>0</v>
      </c>
    </row>
    <row r="55" spans="2:4">
      <c r="B55"/>
      <c r="C55" t="s">
        <v>277</v>
      </c>
      <c r="D55" s="221">
        <v>0</v>
      </c>
    </row>
    <row r="56" spans="2:4">
      <c r="B56"/>
      <c r="C56" t="s">
        <v>278</v>
      </c>
      <c r="D56" s="221">
        <v>0</v>
      </c>
    </row>
    <row r="57" spans="2:4">
      <c r="B57"/>
      <c r="C57" t="s">
        <v>279</v>
      </c>
      <c r="D57" s="221">
        <v>0</v>
      </c>
    </row>
    <row r="58" spans="2:4">
      <c r="B58"/>
      <c r="C58" t="s">
        <v>280</v>
      </c>
      <c r="D58" s="221">
        <v>0</v>
      </c>
    </row>
    <row r="59" spans="2:4">
      <c r="B59"/>
      <c r="C59" t="s">
        <v>281</v>
      </c>
      <c r="D59" s="221">
        <v>0</v>
      </c>
    </row>
    <row r="60" spans="2:4">
      <c r="B60"/>
      <c r="C60" t="s">
        <v>282</v>
      </c>
      <c r="D60" s="221">
        <v>0</v>
      </c>
    </row>
    <row r="61" spans="2:4">
      <c r="B61"/>
      <c r="C61" t="s">
        <v>283</v>
      </c>
      <c r="D61" s="221">
        <v>0</v>
      </c>
    </row>
    <row r="62" spans="2:4">
      <c r="B62"/>
      <c r="C62" t="s">
        <v>284</v>
      </c>
      <c r="D62" s="221">
        <v>0</v>
      </c>
    </row>
    <row r="63" spans="2:4">
      <c r="B63"/>
      <c r="C63" t="s">
        <v>285</v>
      </c>
      <c r="D63" s="221">
        <v>0</v>
      </c>
    </row>
    <row r="64" spans="2:4">
      <c r="B64"/>
      <c r="C64" t="s">
        <v>286</v>
      </c>
      <c r="D64" s="221">
        <v>0</v>
      </c>
    </row>
    <row r="65" spans="2:4">
      <c r="B65"/>
      <c r="C65" t="s">
        <v>287</v>
      </c>
      <c r="D65" s="221">
        <v>0</v>
      </c>
    </row>
    <row r="66" spans="2:4">
      <c r="B66"/>
      <c r="C66" t="s">
        <v>288</v>
      </c>
      <c r="D66" s="221">
        <v>0</v>
      </c>
    </row>
    <row r="67" spans="2:4">
      <c r="B67" s="220" t="s">
        <v>289</v>
      </c>
      <c r="C67" t="s">
        <v>290</v>
      </c>
      <c r="D67" s="221">
        <v>0</v>
      </c>
    </row>
    <row r="68" spans="2:4">
      <c r="B68" s="220"/>
      <c r="C68" t="s">
        <v>291</v>
      </c>
      <c r="D68" s="221">
        <v>0</v>
      </c>
    </row>
    <row r="69" spans="2:4">
      <c r="B69" s="220"/>
      <c r="C69" t="s">
        <v>292</v>
      </c>
      <c r="D69" s="221">
        <v>0</v>
      </c>
    </row>
    <row r="70" spans="2:4">
      <c r="B70" s="220"/>
      <c r="C70" t="s">
        <v>293</v>
      </c>
      <c r="D70" s="221">
        <v>0</v>
      </c>
    </row>
    <row r="71" spans="2:4">
      <c r="B71" s="220" t="s">
        <v>294</v>
      </c>
      <c r="C71" t="s">
        <v>295</v>
      </c>
      <c r="D71" s="221">
        <v>0</v>
      </c>
    </row>
    <row r="72" spans="2:4">
      <c r="B72"/>
      <c r="C72" t="s">
        <v>296</v>
      </c>
      <c r="D72" s="221">
        <v>0</v>
      </c>
    </row>
    <row r="73" spans="2:4">
      <c r="B73"/>
      <c r="C73" t="s">
        <v>297</v>
      </c>
      <c r="D73" s="221">
        <v>0</v>
      </c>
    </row>
    <row r="74" spans="2:4">
      <c r="B74"/>
      <c r="C74" t="s">
        <v>298</v>
      </c>
      <c r="D74" s="221">
        <v>0</v>
      </c>
    </row>
    <row r="75" spans="2:4">
      <c r="B75" s="220" t="s">
        <v>299</v>
      </c>
      <c r="C75" t="s">
        <v>300</v>
      </c>
      <c r="D75" s="221">
        <v>0</v>
      </c>
    </row>
    <row r="76" spans="2:4">
      <c r="B76" s="220" t="s">
        <v>301</v>
      </c>
      <c r="C76" t="s">
        <v>302</v>
      </c>
      <c r="D76" s="221">
        <v>0</v>
      </c>
    </row>
    <row r="77" spans="2:4">
      <c r="B77" s="220" t="s">
        <v>303</v>
      </c>
      <c r="C77" t="s">
        <v>304</v>
      </c>
      <c r="D77" s="221">
        <v>0</v>
      </c>
    </row>
    <row r="78" spans="2:4">
      <c r="B78" s="220" t="s">
        <v>305</v>
      </c>
      <c r="C78" t="s">
        <v>306</v>
      </c>
      <c r="D78" s="221">
        <v>0</v>
      </c>
    </row>
    <row r="79" spans="2:4">
      <c r="B79"/>
      <c r="C79" t="s">
        <v>307</v>
      </c>
      <c r="D79" s="221">
        <v>0.1</v>
      </c>
    </row>
    <row r="80" spans="2:4">
      <c r="B80" s="220" t="s">
        <v>308</v>
      </c>
      <c r="C80" t="s">
        <v>309</v>
      </c>
      <c r="D80" s="221">
        <v>0</v>
      </c>
    </row>
    <row r="81" spans="2:4">
      <c r="B81" s="220" t="s">
        <v>310</v>
      </c>
      <c r="C81" t="s">
        <v>311</v>
      </c>
      <c r="D81" s="221">
        <v>0</v>
      </c>
    </row>
    <row r="82" spans="2:4">
      <c r="B82"/>
      <c r="C82" t="s">
        <v>312</v>
      </c>
      <c r="D82" s="221">
        <v>0.1</v>
      </c>
    </row>
    <row r="83" spans="2:4">
      <c r="B83"/>
      <c r="C83" t="s">
        <v>313</v>
      </c>
      <c r="D83" s="221">
        <v>0</v>
      </c>
    </row>
    <row r="84" spans="2:4">
      <c r="C84" s="4" t="s">
        <v>314</v>
      </c>
      <c r="D84" s="221">
        <v>0</v>
      </c>
    </row>
    <row r="85" spans="2:4">
      <c r="C85" s="4" t="s">
        <v>315</v>
      </c>
      <c r="D85" s="221">
        <v>0</v>
      </c>
    </row>
    <row r="86" spans="2:4">
      <c r="C86" s="4" t="s">
        <v>316</v>
      </c>
      <c r="D86" s="221">
        <v>0</v>
      </c>
    </row>
    <row r="87" spans="2:4">
      <c r="C87" s="4" t="s">
        <v>317</v>
      </c>
      <c r="D87" s="221">
        <v>0.1</v>
      </c>
    </row>
    <row r="88" spans="2:4">
      <c r="D88" s="221">
        <v>0.05</v>
      </c>
    </row>
  </sheetData>
  <sheetProtection selectLockedCells="1"/>
  <dataValidations count="1">
    <dataValidation type="list" showInputMessage="1" showErrorMessage="1" sqref="B41:B42" xr:uid="{4C6198D8-3175-41CD-B43F-FAF012161D57}">
      <formula1>$O$2:$O$3</formula1>
    </dataValidation>
  </dataValidations>
  <pageMargins left="0.7" right="0.7" top="0.75" bottom="0.75" header="0.3" footer="0.3"/>
  <pageSetup orientation="portrait" r:id="rId1"/>
  <headerFooter>
    <oddFooter>&amp;L&amp;1#&amp;"Calibri"&amp;10&amp;K000000INTERNAL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3208D-B43D-4679-B0C4-3A6B76984CDB}">
  <sheetPr codeName="Hoja3"/>
  <dimension ref="A1:H10"/>
  <sheetViews>
    <sheetView zoomScale="58" workbookViewId="0">
      <selection activeCell="D9" sqref="D9"/>
    </sheetView>
  </sheetViews>
  <sheetFormatPr defaultColWidth="11.5703125" defaultRowHeight="29.45" customHeight="1"/>
  <cols>
    <col min="1" max="1" width="22.28515625" customWidth="1"/>
    <col min="2" max="2" width="27.140625" customWidth="1"/>
    <col min="4" max="4" width="34.5703125" customWidth="1"/>
    <col min="8" max="8" width="34" customWidth="1"/>
  </cols>
  <sheetData>
    <row r="1" spans="1:8" ht="63" customHeight="1">
      <c r="A1" s="77"/>
      <c r="B1" s="78" t="s">
        <v>12</v>
      </c>
    </row>
    <row r="2" spans="1:8" ht="29.45" customHeight="1">
      <c r="A2" s="79">
        <f>ENTRADAS!B4</f>
        <v>1000000000</v>
      </c>
      <c r="B2" s="80" cm="1">
        <f t="array" ref="B2">IFERROR(ROUND((IFERROR(INDEX('Configuraciond&amp;o'!$D$35:$P$43,_xlfn.XLOOKUP(ENTRADAS!$B$3,'Configuraciond&amp;o'!$B$6:$B$14,'Configuraciond&amp;o'!$C$6:$C$14,FALSE),_xlfn.XLOOKUP(A2,'Configuraciond&amp;o'!$B$17:$B$29,'Configuraciond&amp;o'!$E$17:$E$29,FALSE)),"N/A"))*(1+C2),-3),"N/A")</f>
        <v>2650000</v>
      </c>
    </row>
    <row r="3" spans="1:8" ht="29.45" customHeight="1">
      <c r="A3" s="79">
        <f>ENTRADAS!B5</f>
        <v>1000000000</v>
      </c>
      <c r="B3" s="80" cm="1">
        <f t="array" ref="B3">IFERROR(ROUND((IFERROR(INDEX('Configuraciond&amp;o'!$D$35:$P$43,_xlfn.XLOOKUP(ENTRADAS!$B$3,'Configuraciond&amp;o'!$B$6:$B$14,'Configuraciond&amp;o'!$C$6:$C$14,FALSE),_xlfn.XLOOKUP(A3,'Configuraciond&amp;o'!$B$17:$B$29,'Configuraciond&amp;o'!$E$17:$E$29,FALSE)),"N/A"))*(1+C3),-3),"N/A")</f>
        <v>2650000</v>
      </c>
    </row>
    <row r="4" spans="1:8" ht="29.45" customHeight="1">
      <c r="A4" s="79">
        <f>ENTRADAS!B6</f>
        <v>1000000000</v>
      </c>
      <c r="B4" s="80" cm="1">
        <f t="array" ref="B4">IFERROR(ROUND((IFERROR(INDEX('Configuraciond&amp;o'!$D$35:$P$43,_xlfn.XLOOKUP(ENTRADAS!$B$3,'Configuraciond&amp;o'!$B$6:$B$14,'Configuraciond&amp;o'!$C$6:$C$14,FALSE),_xlfn.XLOOKUP(A4,'Configuraciond&amp;o'!$B$17:$B$29,'Configuraciond&amp;o'!$E$17:$E$29,FALSE)),"N/A"))*(1+C4),-3),"N/A")</f>
        <v>2650000</v>
      </c>
    </row>
    <row r="7" spans="1:8" ht="29.45" customHeight="1" thickBot="1"/>
    <row r="8" spans="1:8" ht="49.9" customHeight="1" thickBot="1">
      <c r="C8" s="88">
        <v>1</v>
      </c>
      <c r="D8" s="73">
        <f>IF(ENTRADAS!$B$9&lt;&gt;"Otros","N/A",IF(ENTRADAS!$B$8="SI",IFERROR(_xlfn.XLOOKUP(A2,'Configuraciond&amp;o'!$B$17:$B$29,'Configuraciond&amp;o'!$C$17:$C$29,FALSE),"N/A"),"N/A"))</f>
        <v>200000000</v>
      </c>
      <c r="E8" s="325" t="str" cm="1">
        <f t="array" ref="E8">IFERROR(+_xlfn.IFS(ENTRADAS!B8="SI","todo y cada Reclamo y en el agregado anual",$F$139="NO","N/A"),"N/A")</f>
        <v>todo y cada Reclamo y en el agregado anual</v>
      </c>
      <c r="F8" s="326"/>
      <c r="G8" s="327"/>
      <c r="H8" s="87">
        <f>IF(ENTRADAS!$B$9&lt;&gt;"Otros",0,IF(ENTRADAS!$B$8="SI",IFERROR(_xlfn.XLOOKUP(A2,'Configuraciond&amp;o'!$B$17:$B$29,'Configuraciond&amp;o'!$D$17:$D$29,FALSE),"N/A"),"N/A"))</f>
        <v>15000000</v>
      </c>
    </row>
    <row r="9" spans="1:8" ht="63.6" customHeight="1" thickBot="1">
      <c r="C9" s="89">
        <v>2</v>
      </c>
      <c r="D9" s="73">
        <f>IF(ENTRADAS!$B$9&lt;&gt;"Otros","N/A",IF(ENTRADAS!$B$8="SI",IFERROR(_xlfn.XLOOKUP(A3,'Configuraciond&amp;o'!$B$17:$B$29,'Configuraciond&amp;o'!$C$17:$C$29,FALSE),"N/A"),"N/A"))</f>
        <v>200000000</v>
      </c>
      <c r="E9" s="319" t="str" cm="1">
        <f t="array" ref="E9">IFERROR(+_xlfn.IFS(ENTRADAS!B8="SI","todo y cada Reclamo y en el agregado anual",$F$139="NO","N/A"),"N/A")</f>
        <v>todo y cada Reclamo y en el agregado anual</v>
      </c>
      <c r="F9" s="320"/>
      <c r="G9" s="321"/>
      <c r="H9" s="87">
        <f>IF(ENTRADAS!$B$9&lt;&gt;"Otros",0,IF(ENTRADAS!$B$8="SI",IFERROR(_xlfn.XLOOKUP(A3,'Configuraciond&amp;o'!$B$17:$B$29,'Configuraciond&amp;o'!$D$17:$D$29,FALSE),"N/A"),"N/A"))</f>
        <v>15000000</v>
      </c>
    </row>
    <row r="10" spans="1:8" ht="45" customHeight="1">
      <c r="C10" s="75">
        <v>3</v>
      </c>
      <c r="D10" s="73">
        <f>IF(ENTRADAS!$B$9&lt;&gt;"Otros","N/A",IF(ENTRADAS!$B$8="SI",IFERROR(_xlfn.XLOOKUP(A4,'Configuraciond&amp;o'!$B$17:$B$29,'Configuraciond&amp;o'!$C$17:$C$29,FALSE),"N/A"),"N/A"))</f>
        <v>200000000</v>
      </c>
      <c r="E10" s="322" t="str" cm="1">
        <f t="array" ref="E10">IFERROR(+_xlfn.IFS(ENTRADAS!B8="SI","todo y cada Reclamo y en el agregado anual",$F$139="NO","N/A"),"N/A")</f>
        <v>todo y cada Reclamo y en el agregado anual</v>
      </c>
      <c r="F10" s="323"/>
      <c r="G10" s="324"/>
      <c r="H10" s="87">
        <f>IF(ENTRADAS!$B$9&lt;&gt;"Otros",0,IF(ENTRADAS!$B$8="SI",IFERROR(_xlfn.XLOOKUP(A4,'Configuraciond&amp;o'!$B$17:$B$29,'Configuraciond&amp;o'!$D$17:$D$29,FALSE),"N/A"),"N/A"))</f>
        <v>15000000</v>
      </c>
    </row>
  </sheetData>
  <mergeCells count="3">
    <mergeCell ref="E9:G9"/>
    <mergeCell ref="E10:G10"/>
    <mergeCell ref="E8:G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24958-7DAB-4C83-85C9-69F1594FCFC3}">
  <dimension ref="A2:B19"/>
  <sheetViews>
    <sheetView zoomScale="80" workbookViewId="0">
      <selection activeCell="B5" sqref="B5"/>
    </sheetView>
  </sheetViews>
  <sheetFormatPr defaultColWidth="11.5703125" defaultRowHeight="15"/>
  <cols>
    <col min="1" max="1" width="23.28515625" customWidth="1"/>
    <col min="2" max="2" width="52.140625" customWidth="1"/>
  </cols>
  <sheetData>
    <row r="2" spans="1:2">
      <c r="A2" t="s">
        <v>246</v>
      </c>
      <c r="B2" s="90" t="str">
        <f>IFERROR(+_xlfn.XLOOKUP(B8,'Nuevas Primas CYBER'!$E$42:$E$221,'Nuevas Primas CYBER'!$F$42:$F$221,0),"-")</f>
        <v>-</v>
      </c>
    </row>
    <row r="3" spans="1:2">
      <c r="A3" t="s">
        <v>247</v>
      </c>
      <c r="B3" s="90" t="str">
        <f>IFERROR(+_xlfn.XLOOKUP(B9,'Nuevas Primas CYBER'!$E$42:$E$221,'Nuevas Primas CYBER'!$F$42:$F$221,0),"-")</f>
        <v>-</v>
      </c>
    </row>
    <row r="4" spans="1:2">
      <c r="A4" t="s">
        <v>248</v>
      </c>
      <c r="B4" s="90" t="str">
        <f>IFERROR(+_xlfn.XLOOKUP(B10,'Nuevas Primas CYBER'!$E$42:$E$221,'Nuevas Primas CYBER'!$F$42:$F$221,0),"-")</f>
        <v>-</v>
      </c>
    </row>
    <row r="5" spans="1:2">
      <c r="A5" t="s">
        <v>87</v>
      </c>
      <c r="B5" t="str">
        <f>IFERROR(+_xlfn.XLOOKUP(ENTRADAS!B16,'Nuevas Primas CYBER'!$V$4:$V$8,'Nuevas Primas CYBER'!$W$4:$W$8,0),"-")</f>
        <v>COP50.000.000</v>
      </c>
    </row>
    <row r="6" spans="1:2">
      <c r="A6" t="s">
        <v>88</v>
      </c>
      <c r="B6" t="str">
        <f>IFERROR(+_xlfn.XLOOKUP(ENTRADAS!B17,'Nuevas Primas CYBER'!$V$4:$V$8,'Nuevas Primas CYBER'!$W$4:$W$8,0),"-")</f>
        <v>COP50.000.000</v>
      </c>
    </row>
    <row r="7" spans="1:2">
      <c r="A7" t="s">
        <v>89</v>
      </c>
      <c r="B7" t="str">
        <f>IFERROR(+_xlfn.XLOOKUP(ENTRADAS!B18,'Nuevas Primas CYBER'!$V$4:$V$8,'Nuevas Primas CYBER'!$W$4:$W$8,0),"-")</f>
        <v>COP50.000.000</v>
      </c>
    </row>
    <row r="8" spans="1:2">
      <c r="A8" t="s">
        <v>245</v>
      </c>
      <c r="B8" t="e">
        <f>+CONCATENATE(ENTRADAS!#REF!,"-",ENTRADAS!$B$15,"-",ENTRADAS!B16,"-",ENTRADAS!B19)</f>
        <v>#REF!</v>
      </c>
    </row>
    <row r="9" spans="1:2">
      <c r="A9" t="s">
        <v>243</v>
      </c>
      <c r="B9" t="e">
        <f>+CONCATENATE(ENTRADAS!#REF!,"-",ENTRADAS!$B$15,"-",ENTRADAS!B17,"-",ENTRADAS!B20)</f>
        <v>#REF!</v>
      </c>
    </row>
    <row r="10" spans="1:2">
      <c r="A10" t="s">
        <v>244</v>
      </c>
      <c r="B10" t="e">
        <f>+CONCATENATE(ENTRADAS!#REF!,"-",ENTRADAS!$B$15,"-",ENTRADAS!B18,"-",ENTRADAS!B21)</f>
        <v>#REF!</v>
      </c>
    </row>
    <row r="13" spans="1:2">
      <c r="A13" t="s">
        <v>77</v>
      </c>
    </row>
    <row r="14" spans="1:2">
      <c r="A14" t="s">
        <v>246</v>
      </c>
      <c r="B14" s="198" t="str">
        <f>B2</f>
        <v>-</v>
      </c>
    </row>
    <row r="15" spans="1:2">
      <c r="A15" t="s">
        <v>247</v>
      </c>
      <c r="B15" s="198" t="str">
        <f t="shared" ref="B15:B16" si="0">B3</f>
        <v>-</v>
      </c>
    </row>
    <row r="16" spans="1:2">
      <c r="A16" t="s">
        <v>248</v>
      </c>
      <c r="B16" s="198" t="str">
        <f t="shared" si="0"/>
        <v>-</v>
      </c>
    </row>
    <row r="17" spans="1:2">
      <c r="A17" t="s">
        <v>87</v>
      </c>
      <c r="B17" t="str">
        <f>IFERROR(+_xlfn.XLOOKUP(ENTRADAS!#REF!,'Nuevas Primas CYBER'!$V$4:$V$8,'Nuevas Primas CYBER'!$W$4:$W$8,0),"-")</f>
        <v>-</v>
      </c>
    </row>
    <row r="18" spans="1:2">
      <c r="A18" t="s">
        <v>88</v>
      </c>
      <c r="B18" t="str">
        <f>IFERROR(+_xlfn.XLOOKUP(ENTRADAS!#REF!,'Nuevas Primas CYBER'!$V$4:$V$8,'Nuevas Primas CYBER'!$W$4:$W$8,0),"-")</f>
        <v>-</v>
      </c>
    </row>
    <row r="19" spans="1:2">
      <c r="A19" t="s">
        <v>89</v>
      </c>
      <c r="B19" t="str">
        <f>IFERROR(+_xlfn.XLOOKUP(ENTRADAS!#REF!,'Nuevas Primas CYBER'!$V$4:$V$8,'Nuevas Primas CYBER'!$W$4:$W$8,0),"-")</f>
        <v>-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F68ED-3986-42C6-82CC-D865284505E2}">
  <sheetPr codeName="Hoja4"/>
  <dimension ref="B4:P63"/>
  <sheetViews>
    <sheetView zoomScale="62" zoomScaleNormal="85" workbookViewId="0">
      <selection activeCell="B6" sqref="B6"/>
    </sheetView>
  </sheetViews>
  <sheetFormatPr defaultColWidth="11.42578125" defaultRowHeight="15"/>
  <cols>
    <col min="1" max="1" width="11.42578125" style="4"/>
    <col min="2" max="2" width="37.7109375" style="4" customWidth="1"/>
    <col min="3" max="3" width="29.5703125" style="4" bestFit="1" customWidth="1"/>
    <col min="4" max="4" width="31.5703125" style="3" customWidth="1"/>
    <col min="5" max="8" width="18.42578125" style="4" bestFit="1" customWidth="1"/>
    <col min="9" max="14" width="18.28515625" style="4" bestFit="1" customWidth="1"/>
    <col min="15" max="15" width="19.28515625" style="4" bestFit="1" customWidth="1"/>
    <col min="16" max="16" width="17.28515625" style="4" bestFit="1" customWidth="1"/>
    <col min="17" max="16384" width="11.42578125" style="4"/>
  </cols>
  <sheetData>
    <row r="4" spans="2:8">
      <c r="B4" s="1" t="s">
        <v>13</v>
      </c>
      <c r="C4" s="2"/>
    </row>
    <row r="5" spans="2:8">
      <c r="C5" s="2"/>
    </row>
    <row r="6" spans="2:8">
      <c r="B6" s="5" t="s">
        <v>14</v>
      </c>
      <c r="C6" s="2">
        <v>1</v>
      </c>
      <c r="D6" s="6">
        <v>500000000</v>
      </c>
      <c r="E6" s="7">
        <v>1000000000</v>
      </c>
      <c r="F6" s="7"/>
      <c r="G6" s="7"/>
      <c r="H6" s="7"/>
    </row>
    <row r="7" spans="2:8">
      <c r="B7" s="5" t="s">
        <v>15</v>
      </c>
      <c r="C7" s="2">
        <v>2</v>
      </c>
      <c r="D7" s="6">
        <v>500000000</v>
      </c>
      <c r="E7" s="7">
        <v>1000000000</v>
      </c>
      <c r="F7" s="7">
        <v>2000000000</v>
      </c>
      <c r="G7" s="7"/>
      <c r="H7" s="7"/>
    </row>
    <row r="8" spans="2:8">
      <c r="B8" s="5" t="s">
        <v>16</v>
      </c>
      <c r="C8" s="2">
        <v>3</v>
      </c>
      <c r="D8" s="6">
        <v>500000000</v>
      </c>
      <c r="E8" s="7">
        <v>1000000000</v>
      </c>
      <c r="F8" s="7">
        <v>2000000000</v>
      </c>
      <c r="G8" s="7">
        <v>3000000000</v>
      </c>
      <c r="H8" s="7"/>
    </row>
    <row r="9" spans="2:8">
      <c r="B9" s="5" t="s">
        <v>17</v>
      </c>
      <c r="C9" s="2">
        <v>4</v>
      </c>
      <c r="D9" s="6">
        <v>500000000</v>
      </c>
      <c r="E9" s="7">
        <v>1000000000</v>
      </c>
      <c r="F9" s="7">
        <v>2000000000</v>
      </c>
      <c r="G9" s="7">
        <v>3000000000</v>
      </c>
      <c r="H9" s="7"/>
    </row>
    <row r="10" spans="2:8">
      <c r="B10" s="5" t="s">
        <v>18</v>
      </c>
      <c r="C10" s="2">
        <v>5</v>
      </c>
      <c r="D10" s="6"/>
      <c r="E10" s="7"/>
      <c r="F10" s="7"/>
      <c r="G10" s="7"/>
      <c r="H10" s="7"/>
    </row>
    <row r="11" spans="2:8">
      <c r="B11" s="5" t="s">
        <v>19</v>
      </c>
      <c r="C11" s="2">
        <v>6</v>
      </c>
      <c r="D11" s="6"/>
      <c r="E11" s="7"/>
      <c r="F11" s="7"/>
      <c r="G11" s="7"/>
      <c r="H11" s="7"/>
    </row>
    <row r="12" spans="2:8">
      <c r="B12" s="5" t="s">
        <v>20</v>
      </c>
      <c r="C12" s="2">
        <v>7</v>
      </c>
      <c r="D12" s="6"/>
      <c r="E12" s="7"/>
      <c r="F12" s="7"/>
      <c r="G12" s="7"/>
      <c r="H12" s="7"/>
    </row>
    <row r="13" spans="2:8">
      <c r="B13" s="5" t="s">
        <v>21</v>
      </c>
      <c r="C13" s="2">
        <v>8</v>
      </c>
      <c r="D13" s="6"/>
      <c r="E13" s="7"/>
      <c r="F13" s="7"/>
      <c r="G13" s="7"/>
      <c r="H13" s="7"/>
    </row>
    <row r="14" spans="2:8">
      <c r="B14" s="5" t="s">
        <v>22</v>
      </c>
      <c r="C14" s="2">
        <v>9</v>
      </c>
      <c r="D14" s="6"/>
      <c r="E14" s="7"/>
      <c r="F14" s="7"/>
      <c r="G14" s="7"/>
      <c r="H14" s="7"/>
    </row>
    <row r="15" spans="2:8">
      <c r="E15" s="7"/>
      <c r="F15" s="7"/>
      <c r="G15" s="7"/>
      <c r="H15" s="7"/>
    </row>
    <row r="16" spans="2:8">
      <c r="B16" s="8" t="s">
        <v>23</v>
      </c>
      <c r="C16" s="2" t="s">
        <v>24</v>
      </c>
      <c r="D16" s="6" t="s">
        <v>25</v>
      </c>
      <c r="E16" s="7"/>
      <c r="F16" s="7"/>
      <c r="G16" s="7"/>
      <c r="H16" s="7"/>
    </row>
    <row r="17" spans="2:8">
      <c r="B17" s="9">
        <v>500000000</v>
      </c>
      <c r="C17" s="2">
        <f>+B17*0.2</f>
        <v>100000000</v>
      </c>
      <c r="D17" s="10">
        <v>10000000</v>
      </c>
      <c r="E17" s="2">
        <v>1</v>
      </c>
      <c r="F17" s="7"/>
      <c r="G17" s="7"/>
      <c r="H17" s="7"/>
    </row>
    <row r="18" spans="2:8">
      <c r="B18" s="9">
        <v>1000000000</v>
      </c>
      <c r="C18" s="2">
        <f t="shared" ref="C18:C28" si="0">+B18*0.2</f>
        <v>200000000</v>
      </c>
      <c r="D18" s="10">
        <v>15000000</v>
      </c>
      <c r="E18" s="2">
        <v>2</v>
      </c>
      <c r="F18" s="7"/>
      <c r="G18" s="7"/>
      <c r="H18" s="7"/>
    </row>
    <row r="19" spans="2:8">
      <c r="B19" s="9">
        <v>1500000000</v>
      </c>
      <c r="C19" s="2">
        <f t="shared" si="0"/>
        <v>300000000</v>
      </c>
      <c r="D19" s="10">
        <v>20000000</v>
      </c>
      <c r="E19" s="2">
        <v>3</v>
      </c>
      <c r="F19" s="7"/>
      <c r="G19" s="7"/>
      <c r="H19" s="7"/>
    </row>
    <row r="20" spans="2:8">
      <c r="B20" s="9">
        <v>2000000000</v>
      </c>
      <c r="C20" s="2">
        <f t="shared" si="0"/>
        <v>400000000</v>
      </c>
      <c r="D20" s="10">
        <v>25000000</v>
      </c>
      <c r="E20" s="2">
        <v>4</v>
      </c>
      <c r="F20" s="7"/>
      <c r="G20" s="7"/>
      <c r="H20" s="7"/>
    </row>
    <row r="21" spans="2:8">
      <c r="B21" s="9">
        <v>3000000000</v>
      </c>
      <c r="C21" s="2">
        <f t="shared" si="0"/>
        <v>600000000</v>
      </c>
      <c r="D21" s="10">
        <v>30000000</v>
      </c>
      <c r="E21" s="2">
        <v>5</v>
      </c>
      <c r="F21" s="7"/>
      <c r="G21" s="7"/>
      <c r="H21" s="7"/>
    </row>
    <row r="22" spans="2:8">
      <c r="B22" s="9">
        <v>4000000000</v>
      </c>
      <c r="C22" s="2">
        <f t="shared" si="0"/>
        <v>800000000</v>
      </c>
      <c r="D22" s="10">
        <f t="shared" ref="D22" si="1">+C22*5/100</f>
        <v>40000000</v>
      </c>
      <c r="E22" s="2">
        <v>6</v>
      </c>
      <c r="F22" s="7"/>
      <c r="G22" s="7"/>
      <c r="H22" s="7"/>
    </row>
    <row r="23" spans="2:8">
      <c r="B23" s="9">
        <v>5000000000</v>
      </c>
      <c r="C23" s="2">
        <f t="shared" si="0"/>
        <v>1000000000</v>
      </c>
      <c r="D23" s="10">
        <v>45000000</v>
      </c>
      <c r="E23" s="2">
        <v>7</v>
      </c>
      <c r="F23" s="7"/>
      <c r="G23" s="7"/>
      <c r="H23" s="7"/>
    </row>
    <row r="24" spans="2:8">
      <c r="B24" s="9">
        <v>6000000000</v>
      </c>
      <c r="C24" s="2">
        <f t="shared" si="0"/>
        <v>1200000000</v>
      </c>
      <c r="D24" s="10">
        <v>50000000</v>
      </c>
      <c r="E24" s="2">
        <v>8</v>
      </c>
      <c r="F24" s="7"/>
      <c r="G24" s="7"/>
      <c r="H24" s="7"/>
    </row>
    <row r="25" spans="2:8">
      <c r="B25" s="9">
        <v>7000000000</v>
      </c>
      <c r="C25" s="2">
        <f t="shared" si="0"/>
        <v>1400000000</v>
      </c>
      <c r="D25" s="10">
        <v>55000000</v>
      </c>
      <c r="E25" s="2">
        <v>9</v>
      </c>
      <c r="F25" s="7"/>
      <c r="G25" s="7"/>
      <c r="H25" s="7"/>
    </row>
    <row r="26" spans="2:8">
      <c r="B26" s="9">
        <v>8000000000</v>
      </c>
      <c r="C26" s="2">
        <f t="shared" si="0"/>
        <v>1600000000</v>
      </c>
      <c r="D26" s="10">
        <v>65000000</v>
      </c>
      <c r="E26" s="2">
        <v>10</v>
      </c>
      <c r="F26" s="7"/>
      <c r="G26" s="7"/>
      <c r="H26" s="7"/>
    </row>
    <row r="27" spans="2:8">
      <c r="B27" s="9">
        <v>9000000000</v>
      </c>
      <c r="C27" s="2">
        <f t="shared" si="0"/>
        <v>1800000000</v>
      </c>
      <c r="D27" s="10">
        <v>75000000</v>
      </c>
      <c r="E27" s="2">
        <v>11</v>
      </c>
      <c r="F27" s="7"/>
      <c r="G27" s="7"/>
      <c r="H27" s="7"/>
    </row>
    <row r="28" spans="2:8">
      <c r="B28" s="9">
        <v>10000000000</v>
      </c>
      <c r="C28" s="2">
        <f t="shared" si="0"/>
        <v>2000000000</v>
      </c>
      <c r="D28" s="10">
        <v>75000000</v>
      </c>
      <c r="E28" s="2">
        <v>12</v>
      </c>
      <c r="F28" s="7"/>
      <c r="G28" s="7"/>
      <c r="H28" s="7"/>
    </row>
    <row r="29" spans="2:8">
      <c r="B29" s="9">
        <v>15000000000</v>
      </c>
      <c r="C29" s="2">
        <v>2000000000</v>
      </c>
      <c r="D29" s="10">
        <v>75000000</v>
      </c>
      <c r="E29" s="2">
        <v>13</v>
      </c>
    </row>
    <row r="32" spans="2:8">
      <c r="B32" s="4" t="s">
        <v>26</v>
      </c>
    </row>
    <row r="34" spans="2:16">
      <c r="B34" s="4" t="s">
        <v>27</v>
      </c>
      <c r="D34" s="11">
        <v>500000000</v>
      </c>
      <c r="E34" s="12">
        <v>1000000000</v>
      </c>
      <c r="F34" s="12">
        <v>1500000000</v>
      </c>
      <c r="G34" s="12">
        <v>2000000000</v>
      </c>
      <c r="H34" s="12">
        <v>3000000000</v>
      </c>
      <c r="I34" s="12">
        <v>4000000000</v>
      </c>
      <c r="J34" s="12">
        <v>5000000000</v>
      </c>
      <c r="K34" s="12">
        <v>6000000000</v>
      </c>
      <c r="L34" s="12">
        <v>7000000000</v>
      </c>
      <c r="M34" s="12">
        <v>8000000000</v>
      </c>
      <c r="N34" s="12">
        <v>9000000000</v>
      </c>
      <c r="O34" s="12">
        <v>10000000000</v>
      </c>
      <c r="P34" s="12">
        <v>15000000000</v>
      </c>
    </row>
    <row r="35" spans="2:16">
      <c r="B35" s="4" t="s">
        <v>28</v>
      </c>
      <c r="C35" s="13" t="s">
        <v>14</v>
      </c>
      <c r="D35" s="11">
        <f>+'PRIMASd&amp;o'!C8</f>
        <v>1542800.9440609897</v>
      </c>
      <c r="E35" s="11">
        <f>+'PRIMASd&amp;o'!D8</f>
        <v>2505891.1518567386</v>
      </c>
      <c r="F35" s="11">
        <f>+'PRIMASd&amp;o'!E8</f>
        <v>3200773.9699074067</v>
      </c>
      <c r="G35" s="11">
        <f>+'PRIMASd&amp;o'!F8</f>
        <v>4184018.2613168727</v>
      </c>
      <c r="H35" s="11">
        <f>+'PRIMASd&amp;o'!G8</f>
        <v>4988091.2001374904</v>
      </c>
      <c r="I35" s="11">
        <f>+'PRIMASd&amp;o'!H8</f>
        <v>6687115.6132258456</v>
      </c>
      <c r="J35" s="11">
        <f>+'PRIMASd&amp;o'!I8</f>
        <v>8221863.4588842392</v>
      </c>
      <c r="K35" s="11">
        <f>+'PRIMASd&amp;o'!J8</f>
        <v>9461777.6598405726</v>
      </c>
      <c r="L35" s="11" t="str">
        <f>+'PRIMASd&amp;o'!K8</f>
        <v>N/A</v>
      </c>
      <c r="M35" s="11" t="str">
        <f>+'PRIMASd&amp;o'!L8</f>
        <v>N/A</v>
      </c>
      <c r="N35" s="11" t="str">
        <f>+'PRIMASd&amp;o'!M8</f>
        <v>N/A</v>
      </c>
      <c r="O35" s="11" t="str">
        <f>+'PRIMASd&amp;o'!N8</f>
        <v>N/A</v>
      </c>
      <c r="P35" s="11" t="str">
        <f>+'PRIMASd&amp;o'!O8</f>
        <v>N/A</v>
      </c>
    </row>
    <row r="36" spans="2:16">
      <c r="C36" s="13" t="s">
        <v>15</v>
      </c>
      <c r="D36" s="11">
        <f>+'PRIMASd&amp;o'!C9</f>
        <v>1647285.9378320512</v>
      </c>
      <c r="E36" s="11">
        <f>+'PRIMASd&amp;o'!D9</f>
        <v>2514272.0587191358</v>
      </c>
      <c r="F36" s="11">
        <f>+'PRIMASd&amp;o'!E9</f>
        <v>3311145.4861111105</v>
      </c>
      <c r="G36" s="11">
        <f>+'PRIMASd&amp;o'!F9</f>
        <v>4328294.7530864198</v>
      </c>
      <c r="H36" s="11">
        <f>+'PRIMASd&amp;o'!G9</f>
        <v>5160094.3449698174</v>
      </c>
      <c r="I36" s="11">
        <f>+'PRIMASd&amp;o'!H9</f>
        <v>6800456.555822894</v>
      </c>
      <c r="J36" s="11">
        <f>+'PRIMASd&amp;o'!I9</f>
        <v>8361217.0768314293</v>
      </c>
      <c r="K36" s="11">
        <f>+'PRIMASd&amp;o'!J9</f>
        <v>9622146.7727192268</v>
      </c>
      <c r="L36" s="11">
        <f>+'PRIMASd&amp;o'!K9</f>
        <v>10678236.052651826</v>
      </c>
      <c r="M36" s="11">
        <f>+'PRIMASd&amp;o'!L9</f>
        <v>11577867.661483297</v>
      </c>
      <c r="N36" s="11">
        <f>+'PRIMASd&amp;o'!M9</f>
        <v>12321041.599213645</v>
      </c>
      <c r="O36" s="11">
        <f>+'PRIMASd&amp;o'!N9</f>
        <v>12907757.865842866</v>
      </c>
      <c r="P36" s="11" t="str">
        <f>+'PRIMASd&amp;o'!O9</f>
        <v>N/A</v>
      </c>
    </row>
    <row r="37" spans="2:16">
      <c r="C37" s="13" t="s">
        <v>16</v>
      </c>
      <c r="D37" s="11">
        <f>+'PRIMASd&amp;o'!C10</f>
        <v>1715647.9083333332</v>
      </c>
      <c r="E37" s="11">
        <f>+'PRIMASd&amp;o'!D10</f>
        <v>2522680.9953703703</v>
      </c>
      <c r="F37" s="11">
        <f>+'PRIMASd&amp;o'!E10</f>
        <v>3425322.916666666</v>
      </c>
      <c r="G37" s="11">
        <f>+'PRIMASd&amp;o'!F10</f>
        <v>4477546.2962962966</v>
      </c>
      <c r="H37" s="11">
        <f>+'PRIMASd&amp;o'!G10</f>
        <v>5338028.6327273976</v>
      </c>
      <c r="I37" s="11">
        <f>+'PRIMASd&amp;o'!H10</f>
        <v>6915718.5313453162</v>
      </c>
      <c r="J37" s="11">
        <f>+'PRIMASd&amp;o'!I10</f>
        <v>8502932.6205065381</v>
      </c>
      <c r="K37" s="11">
        <f>+'PRIMASd&amp;o'!J10</f>
        <v>9953944.9372957516</v>
      </c>
      <c r="L37" s="11">
        <f>+'PRIMASd&amp;o'!K10</f>
        <v>11046451.088950165</v>
      </c>
      <c r="M37" s="11">
        <f>+'PRIMASd&amp;o'!L10</f>
        <v>11977104.477396514</v>
      </c>
      <c r="N37" s="11">
        <f>+'PRIMASd&amp;o'!M10</f>
        <v>12745905.102634804</v>
      </c>
      <c r="O37" s="11">
        <f>+'PRIMASd&amp;o'!N10</f>
        <v>13352852.964665033</v>
      </c>
      <c r="P37" s="11">
        <f>+'PRIMASd&amp;o'!O10</f>
        <v>12138957.240604576</v>
      </c>
    </row>
    <row r="38" spans="2:16">
      <c r="C38" s="13" t="s">
        <v>17</v>
      </c>
      <c r="D38" s="11">
        <f>+'PRIMASd&amp;o'!C11</f>
        <v>1890521.111111111</v>
      </c>
      <c r="E38" s="11">
        <f>+'PRIMASd&amp;o'!D11</f>
        <v>2531118.0555555555</v>
      </c>
      <c r="F38" s="11">
        <f>+'PRIMASd&amp;o'!E11</f>
        <v>3543437.4999999995</v>
      </c>
      <c r="G38" s="11">
        <f>+'PRIMASd&amp;o'!F11</f>
        <v>4631944.444444445</v>
      </c>
      <c r="H38" s="11">
        <f>+'PRIMASd&amp;o'!G11</f>
        <v>5522098.5855800668</v>
      </c>
      <c r="I38" s="11">
        <f>+'PRIMASd&amp;o'!H11</f>
        <v>7032934.0996732032</v>
      </c>
      <c r="J38" s="11">
        <f>+'PRIMASd&amp;o'!I11</f>
        <v>8647050.1225490216</v>
      </c>
      <c r="K38" s="11">
        <f>+'PRIMASd&amp;o'!J11</f>
        <v>10297184.417892156</v>
      </c>
      <c r="L38" s="11">
        <f>+'PRIMASd&amp;o'!K11</f>
        <v>11427363.195465688</v>
      </c>
      <c r="M38" s="11">
        <f>+'PRIMASd&amp;o'!L11</f>
        <v>12390108.08006536</v>
      </c>
      <c r="N38" s="11">
        <f>+'PRIMASd&amp;o'!M11</f>
        <v>13185419.071691176</v>
      </c>
      <c r="O38" s="11">
        <f>+'PRIMASd&amp;o'!N11</f>
        <v>13813296.170343136</v>
      </c>
      <c r="P38" s="11">
        <f>+'PRIMASd&amp;o'!O11</f>
        <v>12557541.973039215</v>
      </c>
    </row>
    <row r="39" spans="2:16">
      <c r="C39" s="13" t="s">
        <v>18</v>
      </c>
      <c r="D39" s="11">
        <f>+'PRIMASd&amp;o'!C12</f>
        <v>1938333.3333333333</v>
      </c>
      <c r="E39" s="11">
        <f>+'PRIMASd&amp;o'!D12</f>
        <v>2539583.3333333335</v>
      </c>
      <c r="F39" s="11">
        <f>+'PRIMASd&amp;o'!E12</f>
        <v>3665624.9999999995</v>
      </c>
      <c r="G39" s="11">
        <f>+'PRIMASd&amp;o'!F12</f>
        <v>4791666.666666667</v>
      </c>
      <c r="H39" s="11">
        <f>+'PRIMASd&amp;o'!G12</f>
        <v>5712515.7781862756</v>
      </c>
      <c r="I39" s="11">
        <f>+'PRIMASd&amp;o'!H12</f>
        <v>7152136.3725490198</v>
      </c>
      <c r="J39" s="11">
        <f>+'PRIMASd&amp;o'!I12</f>
        <v>8793610.2941176482</v>
      </c>
      <c r="K39" s="11">
        <f>+'PRIMASd&amp;o'!J12</f>
        <v>10652259.742647057</v>
      </c>
      <c r="L39" s="11">
        <f>+'PRIMASd&amp;o'!K12</f>
        <v>11821410.202205883</v>
      </c>
      <c r="M39" s="11">
        <f>+'PRIMASd&amp;o'!L12</f>
        <v>12817353.18627451</v>
      </c>
      <c r="N39" s="11">
        <f>+'PRIMASd&amp;o'!M12</f>
        <v>13640088.694852941</v>
      </c>
      <c r="O39" s="11">
        <f>+'PRIMASd&amp;o'!N12</f>
        <v>14289616.727941176</v>
      </c>
      <c r="P39" s="11">
        <f>+'PRIMASd&amp;o'!O12</f>
        <v>12990560.661764706</v>
      </c>
    </row>
    <row r="40" spans="2:16">
      <c r="C40" s="13" t="s">
        <v>19</v>
      </c>
      <c r="D40" s="11">
        <f>+'PRIMASd&amp;o'!C13</f>
        <v>2000000</v>
      </c>
      <c r="E40" s="11">
        <f>+'PRIMASd&amp;o'!D13</f>
        <v>2650000</v>
      </c>
      <c r="F40" s="11">
        <f>+'PRIMASd&amp;o'!E13</f>
        <v>3824999.9999999995</v>
      </c>
      <c r="G40" s="11">
        <f>+'PRIMASd&amp;o'!F13</f>
        <v>5000000</v>
      </c>
      <c r="H40" s="11">
        <f>+'PRIMASd&amp;o'!G13</f>
        <v>5960886.0294117657</v>
      </c>
      <c r="I40" s="11">
        <f>+'PRIMASd&amp;o'!H13</f>
        <v>7463098.823529412</v>
      </c>
      <c r="J40" s="11">
        <f>+'PRIMASd&amp;o'!I13</f>
        <v>9175941.1764705889</v>
      </c>
      <c r="K40" s="11">
        <f>+'PRIMASd&amp;o'!J13</f>
        <v>11115401.470588233</v>
      </c>
      <c r="L40" s="11">
        <f>+'PRIMASd&amp;o'!K13</f>
        <v>12335384.55882353</v>
      </c>
      <c r="M40" s="11">
        <f>+'PRIMASd&amp;o'!L13</f>
        <v>13374629.411764706</v>
      </c>
      <c r="N40" s="11">
        <f>+'PRIMASd&amp;o'!M13</f>
        <v>14233136.029411765</v>
      </c>
      <c r="O40" s="11">
        <f>+'PRIMASd&amp;o'!N13</f>
        <v>14910904.411764706</v>
      </c>
      <c r="P40" s="11">
        <f>+'PRIMASd&amp;o'!O13</f>
        <v>13555367.647058824</v>
      </c>
    </row>
    <row r="41" spans="2:16">
      <c r="C41" s="4" t="s">
        <v>20</v>
      </c>
      <c r="D41" s="11" t="str">
        <f>+'PRIMASd&amp;o'!C14</f>
        <v>N/A</v>
      </c>
      <c r="E41" s="11" t="str">
        <f>+'PRIMASd&amp;o'!D14</f>
        <v>N/A</v>
      </c>
      <c r="F41" s="11" t="str">
        <f>+'PRIMASd&amp;o'!E14</f>
        <v>N/A</v>
      </c>
      <c r="G41" s="11" t="str">
        <f>+'PRIMASd&amp;o'!F14</f>
        <v>N/A</v>
      </c>
      <c r="H41" s="11">
        <f>+'PRIMASd&amp;o'!G14</f>
        <v>6216875.0000000009</v>
      </c>
      <c r="I41" s="11">
        <f>+'PRIMASd&amp;o'!H14</f>
        <v>7783600</v>
      </c>
      <c r="J41" s="11">
        <f>+'PRIMASd&amp;o'!I14</f>
        <v>9570000</v>
      </c>
      <c r="K41" s="11">
        <f>+'PRIMASd&amp;o'!J14</f>
        <v>11592749.999999998</v>
      </c>
      <c r="L41" s="11">
        <f>+'PRIMASd&amp;o'!K14</f>
        <v>12865125</v>
      </c>
      <c r="M41" s="11">
        <f>+'PRIMASd&amp;o'!L14</f>
        <v>13949000</v>
      </c>
      <c r="N41" s="11">
        <f>+'PRIMASd&amp;o'!M14</f>
        <v>14844375</v>
      </c>
      <c r="O41" s="11">
        <f>+'PRIMASd&amp;o'!N14</f>
        <v>15551250</v>
      </c>
      <c r="P41" s="11">
        <f>+'PRIMASd&amp;o'!O14</f>
        <v>14137500</v>
      </c>
    </row>
    <row r="42" spans="2:16">
      <c r="C42" s="4" t="s">
        <v>21</v>
      </c>
      <c r="D42" s="11" t="str">
        <f>+'PRIMASd&amp;o'!C15</f>
        <v>N/A</v>
      </c>
      <c r="E42" s="11" t="str">
        <f>+'PRIMASd&amp;o'!D15</f>
        <v>N/A</v>
      </c>
      <c r="F42" s="11" t="str">
        <f>+'PRIMASd&amp;o'!E15</f>
        <v>N/A</v>
      </c>
      <c r="G42" s="11" t="str">
        <f>+'PRIMASd&amp;o'!F15</f>
        <v>N/A</v>
      </c>
      <c r="H42" s="11">
        <f>+'PRIMASd&amp;o'!G15</f>
        <v>7105000.0000000009</v>
      </c>
      <c r="I42" s="11">
        <f>+'PRIMASd&amp;o'!H15</f>
        <v>9434666.666666666</v>
      </c>
      <c r="J42" s="11">
        <f>+'PRIMASd&amp;o'!I15</f>
        <v>11600000</v>
      </c>
      <c r="K42" s="11">
        <f>+'PRIMASd&amp;o'!J15</f>
        <v>11889999.999999998</v>
      </c>
      <c r="L42" s="11">
        <f>+'PRIMASd&amp;o'!K15</f>
        <v>13195000</v>
      </c>
      <c r="M42" s="11">
        <f>+'PRIMASd&amp;o'!L15</f>
        <v>14306666.666666666</v>
      </c>
      <c r="N42" s="11">
        <f>+'PRIMASd&amp;o'!M15</f>
        <v>15225000</v>
      </c>
      <c r="O42" s="11">
        <f>+'PRIMASd&amp;o'!N15</f>
        <v>15950000</v>
      </c>
      <c r="P42" s="11">
        <f>+'PRIMASd&amp;o'!O15</f>
        <v>14500000</v>
      </c>
    </row>
    <row r="43" spans="2:16">
      <c r="C43" s="4" t="s">
        <v>22</v>
      </c>
      <c r="D43" s="11" t="str">
        <f>+'PRIMASd&amp;o'!C16</f>
        <v>N/A</v>
      </c>
      <c r="E43" s="11" t="str">
        <f>+'PRIMASd&amp;o'!D16</f>
        <v>N/A</v>
      </c>
      <c r="F43" s="11" t="str">
        <f>+'PRIMASd&amp;o'!E16</f>
        <v>N/A</v>
      </c>
      <c r="G43" s="11" t="str">
        <f>+'PRIMASd&amp;o'!F16</f>
        <v>N/A</v>
      </c>
      <c r="H43" s="11">
        <f>+'PRIMASd&amp;o'!G16</f>
        <v>7350000.0000000009</v>
      </c>
      <c r="I43" s="11">
        <f>+'PRIMASd&amp;o'!H16</f>
        <v>9760000</v>
      </c>
      <c r="J43" s="11">
        <f>+'PRIMASd&amp;o'!I16</f>
        <v>12000000</v>
      </c>
      <c r="K43" s="11">
        <f>+'PRIMASd&amp;o'!J16</f>
        <v>12299999.999999998</v>
      </c>
      <c r="L43" s="11">
        <f>+'PRIMASd&amp;o'!K16</f>
        <v>13650000</v>
      </c>
      <c r="M43" s="11">
        <f>+'PRIMASd&amp;o'!L16</f>
        <v>14800000</v>
      </c>
      <c r="N43" s="11">
        <f>+'PRIMASd&amp;o'!M16</f>
        <v>15750000</v>
      </c>
      <c r="O43" s="11">
        <f>+'PRIMASd&amp;o'!N16</f>
        <v>16500000</v>
      </c>
      <c r="P43" s="11">
        <f>+'PRIMASd&amp;o'!O16</f>
        <v>15000000</v>
      </c>
    </row>
    <row r="45" spans="2:16">
      <c r="C45" s="7" t="s">
        <v>29</v>
      </c>
      <c r="D45" s="3" t="s">
        <v>30</v>
      </c>
      <c r="E45" s="4" t="s">
        <v>31</v>
      </c>
    </row>
    <row r="46" spans="2:16">
      <c r="B46" s="4" t="s">
        <v>32</v>
      </c>
      <c r="C46" s="14" t="str">
        <f>IF(ENTRADAS!B9="Otros","SI","NO")</f>
        <v>SI</v>
      </c>
      <c r="D46" s="15" t="s">
        <v>33</v>
      </c>
      <c r="E46" s="4" t="s">
        <v>34</v>
      </c>
    </row>
    <row r="47" spans="2:16">
      <c r="B47" s="4" t="s">
        <v>35</v>
      </c>
      <c r="C47" s="14" t="s">
        <v>36</v>
      </c>
      <c r="D47" s="15" t="s">
        <v>36</v>
      </c>
      <c r="E47" s="4" t="s">
        <v>37</v>
      </c>
    </row>
    <row r="48" spans="2:16">
      <c r="E48" s="4" t="s">
        <v>38</v>
      </c>
    </row>
    <row r="49" spans="5:5">
      <c r="E49" s="4" t="s">
        <v>39</v>
      </c>
    </row>
    <row r="50" spans="5:5">
      <c r="E50" s="4" t="s">
        <v>40</v>
      </c>
    </row>
    <row r="51" spans="5:5">
      <c r="E51" s="4" t="s">
        <v>41</v>
      </c>
    </row>
    <row r="52" spans="5:5">
      <c r="E52" s="4" t="s">
        <v>42</v>
      </c>
    </row>
    <row r="53" spans="5:5">
      <c r="E53" s="4" t="s">
        <v>43</v>
      </c>
    </row>
    <row r="62" spans="5:5">
      <c r="E62" s="4" t="s">
        <v>44</v>
      </c>
    </row>
    <row r="63" spans="5:5">
      <c r="E63" s="4" t="s">
        <v>45</v>
      </c>
    </row>
  </sheetData>
  <sheetProtection selectLockedCells="1"/>
  <dataValidations disablePrompts="1" count="1">
    <dataValidation type="list" showInputMessage="1" showErrorMessage="1" sqref="B49:B50" xr:uid="{6EF8E2CE-BE6B-4DC8-8A7A-C35A3E284479}">
      <formula1>$O$4:$O$5</formula1>
    </dataValidation>
  </dataValidations>
  <pageMargins left="0.7" right="0.7" top="0.75" bottom="0.75" header="0.3" footer="0.3"/>
  <pageSetup orientation="portrait" r:id="rId1"/>
  <headerFooter>
    <oddFooter>&amp;L&amp;1#&amp;"Calibri"&amp;10&amp;K000000INTERNAL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D65D8-E074-4B32-95AC-02769E129551}">
  <sheetPr codeName="Hoja5"/>
  <dimension ref="A2:O85"/>
  <sheetViews>
    <sheetView topLeftCell="A3" zoomScale="101" zoomScaleNormal="80" workbookViewId="0">
      <selection activeCell="J36" sqref="J36"/>
    </sheetView>
  </sheetViews>
  <sheetFormatPr defaultColWidth="11.5703125" defaultRowHeight="15"/>
  <cols>
    <col min="1" max="1" width="9.28515625" customWidth="1"/>
    <col min="2" max="2" width="18.42578125" customWidth="1"/>
    <col min="3" max="3" width="21.7109375" customWidth="1"/>
    <col min="4" max="4" width="19.28515625" customWidth="1"/>
    <col min="5" max="5" width="17.28515625" customWidth="1"/>
    <col min="6" max="6" width="16.7109375" customWidth="1"/>
    <col min="7" max="7" width="18.7109375" customWidth="1"/>
    <col min="8" max="8" width="16.28515625" customWidth="1"/>
    <col min="9" max="9" width="17.7109375" customWidth="1"/>
    <col min="10" max="10" width="15.7109375" customWidth="1"/>
    <col min="11" max="11" width="17.28515625" customWidth="1"/>
    <col min="12" max="12" width="18.28515625" customWidth="1"/>
    <col min="13" max="13" width="17.5703125" customWidth="1"/>
    <col min="14" max="14" width="23.7109375" customWidth="1"/>
    <col min="15" max="15" width="31.28515625" customWidth="1"/>
  </cols>
  <sheetData>
    <row r="2" spans="1:15" ht="15.75" thickBot="1">
      <c r="A2" s="21"/>
      <c r="C2" s="22"/>
    </row>
    <row r="3" spans="1:15" ht="14.65" customHeight="1">
      <c r="A3" s="21"/>
      <c r="B3" s="328" t="s">
        <v>55</v>
      </c>
      <c r="C3" s="329"/>
      <c r="D3" s="329"/>
      <c r="E3" s="329"/>
      <c r="F3" s="329"/>
      <c r="G3" s="329"/>
      <c r="H3" s="329"/>
      <c r="I3" s="329"/>
      <c r="J3" s="329"/>
      <c r="K3" s="329"/>
      <c r="L3" s="329"/>
      <c r="M3" s="329"/>
      <c r="N3" s="329"/>
      <c r="O3" s="330"/>
    </row>
    <row r="4" spans="1:15" ht="15.75" thickBot="1">
      <c r="A4" s="21"/>
      <c r="B4" s="331"/>
      <c r="C4" s="332"/>
      <c r="D4" s="332"/>
      <c r="E4" s="332"/>
      <c r="F4" s="332"/>
      <c r="G4" s="332"/>
      <c r="H4" s="332"/>
      <c r="I4" s="332"/>
      <c r="J4" s="332"/>
      <c r="K4" s="332"/>
      <c r="L4" s="332"/>
      <c r="M4" s="332"/>
      <c r="N4" s="332"/>
      <c r="O4" s="333"/>
    </row>
    <row r="5" spans="1:15" ht="15.75" thickBot="1">
      <c r="A5" s="21"/>
      <c r="B5" s="23" t="s">
        <v>56</v>
      </c>
      <c r="C5" s="24">
        <v>3</v>
      </c>
      <c r="D5" s="25">
        <v>2.65</v>
      </c>
      <c r="E5" s="26">
        <v>2.5499999999999998</v>
      </c>
      <c r="F5" s="27">
        <v>2.5</v>
      </c>
      <c r="G5" s="28">
        <v>2.4500000000000002</v>
      </c>
      <c r="H5" s="29">
        <v>2.44</v>
      </c>
      <c r="I5" s="30">
        <v>2.4</v>
      </c>
      <c r="J5" s="31">
        <v>2.0499999999999998</v>
      </c>
      <c r="K5" s="32">
        <v>1.95</v>
      </c>
      <c r="L5" s="33">
        <v>1.85</v>
      </c>
      <c r="M5" s="34">
        <v>1.75</v>
      </c>
      <c r="N5" s="35">
        <v>1.65</v>
      </c>
      <c r="O5" s="35">
        <v>1.5</v>
      </c>
    </row>
    <row r="6" spans="1:15" ht="15.75" customHeight="1" thickBot="1">
      <c r="A6" s="36"/>
      <c r="B6" s="4"/>
      <c r="C6" s="292" t="s">
        <v>57</v>
      </c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4"/>
    </row>
    <row r="7" spans="1:15" ht="23.25" thickBot="1">
      <c r="A7" s="37"/>
      <c r="B7" s="38" t="s">
        <v>58</v>
      </c>
      <c r="C7" s="17">
        <v>500000000</v>
      </c>
      <c r="D7" s="17">
        <v>1000000000</v>
      </c>
      <c r="E7" s="17">
        <v>1500000000</v>
      </c>
      <c r="F7" s="17">
        <v>2000000000</v>
      </c>
      <c r="G7" s="17">
        <v>3000000000</v>
      </c>
      <c r="H7" s="17">
        <v>4000000000</v>
      </c>
      <c r="I7" s="17">
        <v>5000000000</v>
      </c>
      <c r="J7" s="17">
        <v>6000000000</v>
      </c>
      <c r="K7" s="17">
        <v>7000000000</v>
      </c>
      <c r="L7" s="17">
        <v>8000000000</v>
      </c>
      <c r="M7" s="17">
        <v>9000000000</v>
      </c>
      <c r="N7" s="19">
        <v>10000000000</v>
      </c>
      <c r="O7" s="19">
        <v>15000000000</v>
      </c>
    </row>
    <row r="8" spans="1:15" ht="15.75" thickBot="1">
      <c r="A8" s="37"/>
      <c r="B8" s="39">
        <v>7000000000</v>
      </c>
      <c r="C8" s="40">
        <v>1542800.9440609897</v>
      </c>
      <c r="D8" s="40">
        <v>2505891.1518567386</v>
      </c>
      <c r="E8" s="40">
        <v>3200773.9699074067</v>
      </c>
      <c r="F8" s="40">
        <v>4184018.2613168727</v>
      </c>
      <c r="G8" s="40">
        <v>4988091.2001374904</v>
      </c>
      <c r="H8" s="40">
        <v>6687115.6132258456</v>
      </c>
      <c r="I8" s="40">
        <v>8221863.4588842392</v>
      </c>
      <c r="J8" s="40">
        <v>9461777.6598405726</v>
      </c>
      <c r="K8" s="41" t="s">
        <v>59</v>
      </c>
      <c r="L8" s="42" t="s">
        <v>59</v>
      </c>
      <c r="M8" s="41" t="s">
        <v>59</v>
      </c>
      <c r="N8" s="41" t="s">
        <v>59</v>
      </c>
      <c r="O8" s="41" t="s">
        <v>59</v>
      </c>
    </row>
    <row r="9" spans="1:15" ht="15.75" thickBot="1">
      <c r="A9" s="37"/>
      <c r="B9" s="39">
        <v>13000000000</v>
      </c>
      <c r="C9" s="40">
        <v>1647285.9378320512</v>
      </c>
      <c r="D9" s="40">
        <v>2514272.0587191358</v>
      </c>
      <c r="E9" s="40">
        <v>3311145.4861111105</v>
      </c>
      <c r="F9" s="40">
        <v>4328294.7530864198</v>
      </c>
      <c r="G9" s="40">
        <v>5160094.3449698174</v>
      </c>
      <c r="H9" s="40">
        <v>6800456.555822894</v>
      </c>
      <c r="I9" s="40">
        <v>8361217.0768314293</v>
      </c>
      <c r="J9" s="40">
        <v>9622146.7727192268</v>
      </c>
      <c r="K9" s="40">
        <v>10678236.052651826</v>
      </c>
      <c r="L9" s="40">
        <v>11577867.661483297</v>
      </c>
      <c r="M9" s="40">
        <v>12321041.599213645</v>
      </c>
      <c r="N9" s="40">
        <v>12907757.865842866</v>
      </c>
      <c r="O9" s="41" t="s">
        <v>59</v>
      </c>
    </row>
    <row r="10" spans="1:15" ht="15.75" thickBot="1">
      <c r="A10" s="37"/>
      <c r="B10" s="39">
        <v>20000000000</v>
      </c>
      <c r="C10" s="40">
        <v>1715647.9083333332</v>
      </c>
      <c r="D10" s="40">
        <v>2522680.9953703703</v>
      </c>
      <c r="E10" s="40">
        <v>3425322.916666666</v>
      </c>
      <c r="F10" s="40">
        <v>4477546.2962962966</v>
      </c>
      <c r="G10" s="40">
        <v>5338028.6327273976</v>
      </c>
      <c r="H10" s="40">
        <v>6915718.5313453162</v>
      </c>
      <c r="I10" s="40">
        <v>8502932.6205065381</v>
      </c>
      <c r="J10" s="40">
        <v>9953944.9372957516</v>
      </c>
      <c r="K10" s="40">
        <v>11046451.088950165</v>
      </c>
      <c r="L10" s="40">
        <v>11977104.477396514</v>
      </c>
      <c r="M10" s="40">
        <v>12745905.102634804</v>
      </c>
      <c r="N10" s="40">
        <v>13352852.964665033</v>
      </c>
      <c r="O10" s="40">
        <v>12138957.240604576</v>
      </c>
    </row>
    <row r="11" spans="1:15" ht="15.75" thickBot="1">
      <c r="A11" s="43"/>
      <c r="B11" s="39">
        <v>45000000000</v>
      </c>
      <c r="C11" s="40">
        <v>1890521.111111111</v>
      </c>
      <c r="D11" s="40">
        <v>2531118.0555555555</v>
      </c>
      <c r="E11" s="40">
        <v>3543437.4999999995</v>
      </c>
      <c r="F11" s="40">
        <v>4631944.444444445</v>
      </c>
      <c r="G11" s="40">
        <v>5522098.5855800668</v>
      </c>
      <c r="H11" s="40">
        <v>7032934.0996732032</v>
      </c>
      <c r="I11" s="40">
        <v>8647050.1225490216</v>
      </c>
      <c r="J11" s="40">
        <v>10297184.417892156</v>
      </c>
      <c r="K11" s="40">
        <v>11427363.195465688</v>
      </c>
      <c r="L11" s="40">
        <v>12390108.08006536</v>
      </c>
      <c r="M11" s="40">
        <v>13185419.071691176</v>
      </c>
      <c r="N11" s="40">
        <v>13813296.170343136</v>
      </c>
      <c r="O11" s="40">
        <v>12557541.973039215</v>
      </c>
    </row>
    <row r="12" spans="1:15" ht="15.75" thickBot="1">
      <c r="A12" s="43"/>
      <c r="B12" s="39">
        <v>60000000000</v>
      </c>
      <c r="C12" s="40">
        <v>1938333.3333333333</v>
      </c>
      <c r="D12" s="40">
        <v>2539583.3333333335</v>
      </c>
      <c r="E12" s="40">
        <v>3665624.9999999995</v>
      </c>
      <c r="F12" s="40">
        <v>4791666.666666667</v>
      </c>
      <c r="G12" s="40">
        <v>5712515.7781862756</v>
      </c>
      <c r="H12" s="40">
        <v>7152136.3725490198</v>
      </c>
      <c r="I12" s="40">
        <v>8793610.2941176482</v>
      </c>
      <c r="J12" s="40">
        <v>10652259.742647057</v>
      </c>
      <c r="K12" s="40">
        <v>11821410.202205883</v>
      </c>
      <c r="L12" s="40">
        <v>12817353.18627451</v>
      </c>
      <c r="M12" s="40">
        <v>13640088.694852941</v>
      </c>
      <c r="N12" s="40">
        <v>14289616.727941176</v>
      </c>
      <c r="O12" s="40">
        <v>12990560.661764706</v>
      </c>
    </row>
    <row r="13" spans="1:15" ht="15.75" thickBot="1">
      <c r="A13" s="43"/>
      <c r="B13" s="39">
        <v>85000000000</v>
      </c>
      <c r="C13" s="40">
        <v>2000000</v>
      </c>
      <c r="D13" s="44">
        <v>2650000</v>
      </c>
      <c r="E13" s="44">
        <v>3824999.9999999995</v>
      </c>
      <c r="F13" s="44">
        <v>5000000</v>
      </c>
      <c r="G13" s="40">
        <v>5960886.0294117657</v>
      </c>
      <c r="H13" s="40">
        <v>7463098.823529412</v>
      </c>
      <c r="I13" s="40">
        <v>9175941.1764705889</v>
      </c>
      <c r="J13" s="40">
        <v>11115401.470588233</v>
      </c>
      <c r="K13" s="40">
        <v>12335384.55882353</v>
      </c>
      <c r="L13" s="40">
        <v>13374629.411764706</v>
      </c>
      <c r="M13" s="40">
        <v>14233136.029411765</v>
      </c>
      <c r="N13" s="45">
        <v>14910904.411764706</v>
      </c>
      <c r="O13" s="45">
        <v>13555367.647058824</v>
      </c>
    </row>
    <row r="14" spans="1:15" ht="15.75" thickBot="1">
      <c r="A14" s="43"/>
      <c r="B14" s="39">
        <v>120000000000</v>
      </c>
      <c r="C14" s="46" t="s">
        <v>59</v>
      </c>
      <c r="D14" s="46" t="s">
        <v>59</v>
      </c>
      <c r="E14" s="46" t="s">
        <v>59</v>
      </c>
      <c r="F14" s="46" t="s">
        <v>59</v>
      </c>
      <c r="G14" s="40">
        <v>6216875.0000000009</v>
      </c>
      <c r="H14" s="40">
        <v>7783600</v>
      </c>
      <c r="I14" s="40">
        <v>9570000</v>
      </c>
      <c r="J14" s="40">
        <v>11592749.999999998</v>
      </c>
      <c r="K14" s="40">
        <v>12865125</v>
      </c>
      <c r="L14" s="40">
        <v>13949000</v>
      </c>
      <c r="M14" s="40">
        <v>14844375</v>
      </c>
      <c r="N14" s="45">
        <v>15551250</v>
      </c>
      <c r="O14" s="45">
        <v>14137500</v>
      </c>
    </row>
    <row r="15" spans="1:15" ht="15.75" thickBot="1">
      <c r="A15" s="43"/>
      <c r="B15" s="39">
        <v>150000000000</v>
      </c>
      <c r="C15" s="46" t="s">
        <v>59</v>
      </c>
      <c r="D15" s="46" t="s">
        <v>59</v>
      </c>
      <c r="E15" s="46" t="s">
        <v>59</v>
      </c>
      <c r="F15" s="46" t="s">
        <v>59</v>
      </c>
      <c r="G15" s="40">
        <v>7105000.0000000009</v>
      </c>
      <c r="H15" s="40">
        <v>9434666.666666666</v>
      </c>
      <c r="I15" s="40">
        <v>11600000</v>
      </c>
      <c r="J15" s="40">
        <v>11889999.999999998</v>
      </c>
      <c r="K15" s="40">
        <v>13195000</v>
      </c>
      <c r="L15" s="40">
        <v>14306666.666666666</v>
      </c>
      <c r="M15" s="40">
        <v>15225000</v>
      </c>
      <c r="N15" s="45">
        <v>15950000</v>
      </c>
      <c r="O15" s="45">
        <v>14500000</v>
      </c>
    </row>
    <row r="16" spans="1:15" ht="15.75" thickBot="1">
      <c r="A16" s="43"/>
      <c r="B16" s="39">
        <v>200000000000</v>
      </c>
      <c r="C16" s="47" t="s">
        <v>59</v>
      </c>
      <c r="D16" s="46" t="s">
        <v>59</v>
      </c>
      <c r="E16" s="46" t="s">
        <v>59</v>
      </c>
      <c r="F16" s="46" t="s">
        <v>59</v>
      </c>
      <c r="G16" s="44">
        <v>7350000.0000000009</v>
      </c>
      <c r="H16" s="44">
        <v>9760000</v>
      </c>
      <c r="I16" s="44">
        <v>12000000</v>
      </c>
      <c r="J16" s="44">
        <v>12299999.999999998</v>
      </c>
      <c r="K16" s="44">
        <v>13650000</v>
      </c>
      <c r="L16" s="44">
        <v>14800000</v>
      </c>
      <c r="M16" s="48">
        <v>15750000</v>
      </c>
      <c r="N16" s="49">
        <v>16500000</v>
      </c>
      <c r="O16" s="49">
        <v>15000000</v>
      </c>
    </row>
    <row r="17" spans="1:14" ht="15" customHeight="1">
      <c r="A17" s="21"/>
      <c r="B17" s="50"/>
      <c r="C17" s="51"/>
      <c r="D17" s="51"/>
      <c r="E17" s="51"/>
      <c r="F17" s="51"/>
      <c r="G17" s="51"/>
      <c r="H17" s="51"/>
      <c r="I17" s="51"/>
    </row>
    <row r="18" spans="1:14" s="4" customFormat="1" ht="15" customHeight="1"/>
    <row r="19" spans="1:14">
      <c r="C19" s="52">
        <v>75000000</v>
      </c>
      <c r="D19" s="52">
        <v>150000000</v>
      </c>
      <c r="E19" s="52">
        <v>225000000</v>
      </c>
      <c r="F19" s="52">
        <v>300000000</v>
      </c>
      <c r="G19" s="52">
        <v>450000000</v>
      </c>
      <c r="H19" s="52">
        <v>600000000</v>
      </c>
      <c r="I19" s="52">
        <v>750000000</v>
      </c>
      <c r="J19" s="52">
        <v>900000000</v>
      </c>
      <c r="K19" s="52">
        <v>1050000000</v>
      </c>
      <c r="L19" s="52">
        <v>1200000000</v>
      </c>
      <c r="M19" s="52">
        <v>1350000000</v>
      </c>
      <c r="N19" s="52">
        <v>1500000000</v>
      </c>
    </row>
    <row r="21" spans="1:14" ht="15.75" thickBot="1"/>
    <row r="22" spans="1:14" ht="15.75" thickBot="1">
      <c r="C22" s="277" t="s">
        <v>60</v>
      </c>
      <c r="D22" s="278"/>
      <c r="E22" s="278"/>
      <c r="F22" s="278"/>
      <c r="G22" s="278"/>
      <c r="H22" s="278"/>
      <c r="I22" s="279"/>
    </row>
    <row r="23" spans="1:14" ht="15.75" thickBot="1">
      <c r="C23" s="53"/>
      <c r="D23" s="54" t="s">
        <v>61</v>
      </c>
      <c r="E23" s="55" t="s">
        <v>11</v>
      </c>
      <c r="F23" s="54" t="s">
        <v>62</v>
      </c>
      <c r="G23" s="56" t="s">
        <v>63</v>
      </c>
      <c r="H23" s="57" t="s">
        <v>64</v>
      </c>
      <c r="I23" s="57" t="s">
        <v>65</v>
      </c>
    </row>
    <row r="24" spans="1:14">
      <c r="C24" s="58" t="s">
        <v>66</v>
      </c>
      <c r="D24" s="59">
        <v>500000000</v>
      </c>
      <c r="E24" s="59"/>
      <c r="F24" s="59">
        <v>1500120</v>
      </c>
      <c r="G24" s="60">
        <v>3000.24</v>
      </c>
      <c r="H24" s="61"/>
      <c r="I24" s="62">
        <v>0</v>
      </c>
    </row>
    <row r="25" spans="1:14">
      <c r="C25" s="58" t="s">
        <v>67</v>
      </c>
      <c r="D25" s="59">
        <v>1000000000</v>
      </c>
      <c r="E25" s="63">
        <v>0</v>
      </c>
      <c r="F25" s="64">
        <v>2270716</v>
      </c>
      <c r="G25" s="65">
        <v>2270.7159999999999</v>
      </c>
      <c r="H25" s="66">
        <v>9475697868</v>
      </c>
      <c r="I25" s="67">
        <v>9475697868000</v>
      </c>
    </row>
    <row r="26" spans="1:14">
      <c r="C26" s="58" t="s">
        <v>68</v>
      </c>
      <c r="D26" s="59">
        <v>1500000000</v>
      </c>
      <c r="E26" s="63"/>
      <c r="F26" s="64">
        <v>2979584</v>
      </c>
      <c r="G26" s="65">
        <v>1986.3893333333335</v>
      </c>
      <c r="H26" s="66"/>
      <c r="I26" s="67">
        <v>0</v>
      </c>
    </row>
    <row r="27" spans="1:14" ht="15.75" thickBot="1">
      <c r="C27" s="68" t="s">
        <v>69</v>
      </c>
      <c r="D27" s="59">
        <v>2000000000</v>
      </c>
      <c r="E27" s="59"/>
      <c r="F27" s="59">
        <v>3491963</v>
      </c>
      <c r="G27" s="65">
        <v>1745.9814999999999</v>
      </c>
      <c r="H27" s="66"/>
      <c r="I27" s="67">
        <v>0</v>
      </c>
    </row>
    <row r="28" spans="1:14" ht="15.75" thickBot="1">
      <c r="C28" s="68" t="s">
        <v>70</v>
      </c>
      <c r="D28" s="69">
        <v>3000000000</v>
      </c>
      <c r="E28" s="69"/>
      <c r="F28" s="69">
        <v>4935755</v>
      </c>
      <c r="G28" s="70">
        <v>1645.2516666666668</v>
      </c>
      <c r="H28" s="71"/>
      <c r="I28" s="72">
        <v>0</v>
      </c>
    </row>
    <row r="29" spans="1:14" ht="15.75" thickBot="1">
      <c r="C29" s="68" t="s">
        <v>71</v>
      </c>
      <c r="D29" s="69">
        <v>4000000000</v>
      </c>
      <c r="E29" s="69"/>
      <c r="F29" s="69">
        <v>6364803</v>
      </c>
      <c r="G29" s="70">
        <v>1591.20075</v>
      </c>
      <c r="H29" s="71"/>
      <c r="I29" s="72">
        <v>0</v>
      </c>
    </row>
    <row r="30" spans="1:14" ht="15.75" thickBot="1">
      <c r="C30" s="68" t="s">
        <v>72</v>
      </c>
      <c r="D30" s="69">
        <v>5000000000</v>
      </c>
      <c r="E30" s="69"/>
      <c r="F30" s="69">
        <v>7825578</v>
      </c>
      <c r="G30" s="70">
        <v>1565.1155999999999</v>
      </c>
      <c r="H30" s="71"/>
      <c r="I30" s="72">
        <v>0</v>
      </c>
    </row>
    <row r="31" spans="1:14" ht="15.75" thickBot="1">
      <c r="C31" s="68" t="s">
        <v>73</v>
      </c>
      <c r="D31" s="69">
        <v>6000000000</v>
      </c>
      <c r="E31" s="69"/>
      <c r="F31" s="69">
        <v>9581408</v>
      </c>
      <c r="G31" s="70">
        <v>1596.9013333333332</v>
      </c>
      <c r="H31" s="71"/>
      <c r="I31" s="72">
        <v>0</v>
      </c>
    </row>
    <row r="32" spans="1:14" ht="15.75" thickBot="1">
      <c r="C32" s="68" t="s">
        <v>74</v>
      </c>
      <c r="D32" s="69">
        <v>7000000000</v>
      </c>
      <c r="E32" s="69"/>
      <c r="F32" s="69">
        <v>10633026</v>
      </c>
      <c r="G32" s="70">
        <v>1519.0037142857143</v>
      </c>
      <c r="H32" s="71"/>
      <c r="I32" s="72">
        <v>0</v>
      </c>
    </row>
    <row r="33" spans="3:9" ht="15.75" thickBot="1">
      <c r="C33" s="68" t="s">
        <v>74</v>
      </c>
      <c r="D33" s="69">
        <v>8000000000</v>
      </c>
      <c r="E33" s="69"/>
      <c r="F33" s="69"/>
      <c r="G33" s="70">
        <v>0</v>
      </c>
      <c r="H33" s="71"/>
      <c r="I33" s="72">
        <v>0</v>
      </c>
    </row>
    <row r="34" spans="3:9" ht="15.75" thickBot="1">
      <c r="C34" s="68" t="s">
        <v>74</v>
      </c>
      <c r="D34" s="69">
        <v>9000000000</v>
      </c>
      <c r="E34" s="69"/>
      <c r="F34" s="69"/>
      <c r="G34" s="70">
        <v>0</v>
      </c>
      <c r="H34" s="71"/>
      <c r="I34" s="72">
        <v>0</v>
      </c>
    </row>
    <row r="35" spans="3:9" ht="15.75" thickBot="1">
      <c r="C35" s="68" t="s">
        <v>74</v>
      </c>
      <c r="D35" s="69">
        <v>10000000000</v>
      </c>
      <c r="E35" s="69"/>
      <c r="F35" s="69"/>
      <c r="G35" s="70">
        <v>0</v>
      </c>
      <c r="H35" s="71"/>
      <c r="I35" s="72">
        <v>0</v>
      </c>
    </row>
    <row r="85" ht="6.6" customHeight="1"/>
  </sheetData>
  <mergeCells count="3">
    <mergeCell ref="B3:O4"/>
    <mergeCell ref="C6:N6"/>
    <mergeCell ref="C22:I2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9490-9E65-4EB0-97DB-9B7E02B3C207}">
  <sheetPr codeName="Hoja10"/>
  <dimension ref="B2:J36"/>
  <sheetViews>
    <sheetView zoomScale="63" workbookViewId="0">
      <selection activeCell="D48" sqref="D48"/>
    </sheetView>
  </sheetViews>
  <sheetFormatPr defaultColWidth="20.28515625" defaultRowHeight="15"/>
  <cols>
    <col min="1" max="1" width="5.28515625" customWidth="1"/>
    <col min="3" max="7" width="20.7109375" customWidth="1"/>
    <col min="8" max="10" width="21.7109375" customWidth="1"/>
  </cols>
  <sheetData>
    <row r="2" spans="2:10" ht="15.75" thickBot="1">
      <c r="B2" s="16" t="s">
        <v>14</v>
      </c>
      <c r="C2" s="16" t="s">
        <v>15</v>
      </c>
      <c r="D2" s="16" t="s">
        <v>16</v>
      </c>
      <c r="E2" s="16" t="s">
        <v>17</v>
      </c>
      <c r="F2" s="16" t="s">
        <v>18</v>
      </c>
      <c r="G2" s="16" t="s">
        <v>19</v>
      </c>
      <c r="H2" s="16" t="s">
        <v>20</v>
      </c>
      <c r="I2" s="16" t="s">
        <v>21</v>
      </c>
      <c r="J2" s="16" t="s">
        <v>22</v>
      </c>
    </row>
    <row r="3" spans="2:10" ht="15.75" thickBot="1">
      <c r="B3" s="17">
        <v>500000000</v>
      </c>
      <c r="C3" s="17">
        <v>500000000</v>
      </c>
      <c r="D3" s="17">
        <v>500000000</v>
      </c>
      <c r="E3" s="17">
        <v>500000000</v>
      </c>
      <c r="F3" s="17">
        <v>500000000</v>
      </c>
      <c r="G3" s="17">
        <v>500000000</v>
      </c>
      <c r="H3" s="17">
        <v>3000000000</v>
      </c>
      <c r="I3" s="17">
        <v>3000000000</v>
      </c>
      <c r="J3" s="17">
        <v>3000000000</v>
      </c>
    </row>
    <row r="4" spans="2:10" ht="15.75" thickBot="1">
      <c r="B4" s="17">
        <v>1000000000</v>
      </c>
      <c r="C4" s="17">
        <v>1000000000</v>
      </c>
      <c r="D4" s="17">
        <v>1000000000</v>
      </c>
      <c r="E4" s="17">
        <v>1000000000</v>
      </c>
      <c r="F4" s="17">
        <v>1000000000</v>
      </c>
      <c r="G4" s="17">
        <v>1000000000</v>
      </c>
      <c r="H4" s="17">
        <v>4000000000</v>
      </c>
      <c r="I4" s="17">
        <v>4000000000</v>
      </c>
      <c r="J4" s="17">
        <v>4000000000</v>
      </c>
    </row>
    <row r="5" spans="2:10" ht="15.75" thickBot="1">
      <c r="B5" s="17">
        <v>1500000000</v>
      </c>
      <c r="C5" s="17">
        <v>1500000000</v>
      </c>
      <c r="D5" s="17">
        <v>1500000000</v>
      </c>
      <c r="E5" s="17">
        <v>1500000000</v>
      </c>
      <c r="F5" s="17">
        <v>1500000000</v>
      </c>
      <c r="G5" s="17">
        <v>1500000000</v>
      </c>
      <c r="H5" s="17">
        <v>5000000000</v>
      </c>
      <c r="I5" s="17">
        <v>5000000000</v>
      </c>
      <c r="J5" s="17">
        <v>5000000000</v>
      </c>
    </row>
    <row r="6" spans="2:10" ht="15.75" thickBot="1">
      <c r="B6" s="17">
        <v>2000000000</v>
      </c>
      <c r="C6" s="17">
        <v>2000000000</v>
      </c>
      <c r="D6" s="17">
        <v>2000000000</v>
      </c>
      <c r="E6" s="17">
        <v>2000000000</v>
      </c>
      <c r="F6" s="17">
        <v>2000000000</v>
      </c>
      <c r="G6" s="17">
        <v>2000000000</v>
      </c>
      <c r="H6" s="17">
        <v>6000000000</v>
      </c>
      <c r="I6" s="17">
        <v>6000000000</v>
      </c>
      <c r="J6" s="17">
        <v>6000000000</v>
      </c>
    </row>
    <row r="7" spans="2:10" ht="15.75" thickBot="1">
      <c r="B7" s="17">
        <v>3000000000</v>
      </c>
      <c r="C7" s="17">
        <v>3000000000</v>
      </c>
      <c r="D7" s="17">
        <v>3000000000</v>
      </c>
      <c r="E7" s="17">
        <v>3000000000</v>
      </c>
      <c r="F7" s="17">
        <v>3000000000</v>
      </c>
      <c r="G7" s="17">
        <v>3000000000</v>
      </c>
      <c r="H7" s="17">
        <v>7000000000</v>
      </c>
      <c r="I7" s="17">
        <v>7000000000</v>
      </c>
      <c r="J7" s="17">
        <v>7000000000</v>
      </c>
    </row>
    <row r="8" spans="2:10" ht="15.75" thickBot="1">
      <c r="B8" s="17">
        <v>4000000000</v>
      </c>
      <c r="C8" s="17">
        <v>4000000000</v>
      </c>
      <c r="D8" s="17">
        <v>4000000000</v>
      </c>
      <c r="E8" s="17">
        <v>4000000000</v>
      </c>
      <c r="F8" s="17">
        <v>4000000000</v>
      </c>
      <c r="G8" s="17">
        <v>4000000000</v>
      </c>
      <c r="H8" s="17">
        <v>8000000000</v>
      </c>
      <c r="I8" s="17">
        <v>8000000000</v>
      </c>
      <c r="J8" s="17">
        <v>8000000000</v>
      </c>
    </row>
    <row r="9" spans="2:10" ht="15.75" thickBot="1">
      <c r="B9" s="17">
        <v>5000000000</v>
      </c>
      <c r="C9" s="17">
        <v>5000000000</v>
      </c>
      <c r="D9" s="17">
        <v>5000000000</v>
      </c>
      <c r="E9" s="17">
        <v>5000000000</v>
      </c>
      <c r="F9" s="17">
        <v>5000000000</v>
      </c>
      <c r="G9" s="17">
        <v>5000000000</v>
      </c>
      <c r="H9" s="17">
        <v>9000000000</v>
      </c>
      <c r="I9" s="17">
        <v>9000000000</v>
      </c>
      <c r="J9" s="17">
        <v>9000000000</v>
      </c>
    </row>
    <row r="10" spans="2:10" ht="15.75" thickBot="1">
      <c r="B10" s="18">
        <v>6000000000</v>
      </c>
      <c r="C10" s="17">
        <v>6000000000</v>
      </c>
      <c r="D10" s="17">
        <v>6000000000</v>
      </c>
      <c r="E10" s="17">
        <v>6000000000</v>
      </c>
      <c r="F10" s="17">
        <v>6000000000</v>
      </c>
      <c r="G10" s="17">
        <v>6000000000</v>
      </c>
      <c r="H10" s="19">
        <v>10000000000</v>
      </c>
      <c r="I10" s="19">
        <v>10000000000</v>
      </c>
      <c r="J10" s="19">
        <v>10000000000</v>
      </c>
    </row>
    <row r="11" spans="2:10" ht="15.75" thickBot="1">
      <c r="C11" s="17">
        <v>7000000000</v>
      </c>
      <c r="D11" s="17">
        <v>7000000000</v>
      </c>
      <c r="E11" s="17">
        <v>7000000000</v>
      </c>
      <c r="F11" s="17">
        <v>7000000000</v>
      </c>
      <c r="G11" s="17">
        <v>7000000000</v>
      </c>
      <c r="H11" s="20">
        <v>15000000000</v>
      </c>
      <c r="I11" s="20">
        <v>15000000000</v>
      </c>
      <c r="J11" s="20">
        <v>15000000000</v>
      </c>
    </row>
    <row r="12" spans="2:10" ht="15.75" thickBot="1">
      <c r="C12" s="17">
        <v>8000000000</v>
      </c>
      <c r="D12" s="17">
        <v>8000000000</v>
      </c>
      <c r="E12" s="17">
        <v>8000000000</v>
      </c>
      <c r="F12" s="17">
        <v>8000000000</v>
      </c>
      <c r="G12" s="17">
        <v>8000000000</v>
      </c>
    </row>
    <row r="13" spans="2:10" ht="15.75" thickBot="1">
      <c r="C13" s="17">
        <v>9000000000</v>
      </c>
      <c r="D13" s="17">
        <v>9000000000</v>
      </c>
      <c r="E13" s="17">
        <v>9000000000</v>
      </c>
      <c r="F13" s="17">
        <v>9000000000</v>
      </c>
      <c r="G13" s="17">
        <v>9000000000</v>
      </c>
    </row>
    <row r="14" spans="2:10" ht="15.75" thickBot="1">
      <c r="C14" s="20">
        <v>10000000000</v>
      </c>
      <c r="D14" s="19">
        <v>10000000000</v>
      </c>
      <c r="E14" s="19">
        <v>10000000000</v>
      </c>
      <c r="F14" s="19">
        <v>10000000000</v>
      </c>
      <c r="G14" s="19">
        <v>10000000000</v>
      </c>
    </row>
    <row r="15" spans="2:10">
      <c r="D15" s="20">
        <v>15000000000</v>
      </c>
      <c r="E15" s="20">
        <v>15000000000</v>
      </c>
      <c r="F15" s="20">
        <v>15000000000</v>
      </c>
      <c r="G15" s="20">
        <v>15000000000</v>
      </c>
    </row>
    <row r="23" spans="2:10" ht="15.75" thickBot="1">
      <c r="B23" s="16" t="s">
        <v>46</v>
      </c>
      <c r="C23" s="16" t="s">
        <v>47</v>
      </c>
      <c r="D23" s="16" t="s">
        <v>48</v>
      </c>
      <c r="E23" s="16" t="s">
        <v>49</v>
      </c>
      <c r="F23" s="16" t="s">
        <v>50</v>
      </c>
      <c r="G23" s="16" t="s">
        <v>51</v>
      </c>
      <c r="H23" s="16" t="s">
        <v>52</v>
      </c>
      <c r="I23" s="16" t="s">
        <v>53</v>
      </c>
      <c r="J23" s="16" t="s">
        <v>54</v>
      </c>
    </row>
    <row r="24" spans="2:10" ht="15.75" thickBot="1">
      <c r="B24" s="17">
        <v>500000000</v>
      </c>
      <c r="C24" s="17">
        <v>500000000</v>
      </c>
      <c r="D24" s="17">
        <v>500000000</v>
      </c>
      <c r="E24" s="17">
        <v>500000000</v>
      </c>
      <c r="F24" s="17">
        <v>500000000</v>
      </c>
      <c r="G24" s="17">
        <v>500000000</v>
      </c>
      <c r="H24" s="17">
        <v>3000000000</v>
      </c>
      <c r="I24" s="17">
        <v>3000000000</v>
      </c>
      <c r="J24" s="17">
        <v>3000000000</v>
      </c>
    </row>
    <row r="25" spans="2:10" ht="15.75" thickBot="1">
      <c r="B25" s="17">
        <v>1000000000</v>
      </c>
      <c r="C25" s="17">
        <v>1000000000</v>
      </c>
      <c r="D25" s="17">
        <v>1000000000</v>
      </c>
      <c r="E25" s="17">
        <v>1000000000</v>
      </c>
      <c r="F25" s="17">
        <v>1000000000</v>
      </c>
      <c r="G25" s="17">
        <v>1000000000</v>
      </c>
      <c r="H25" s="17">
        <v>4000000000</v>
      </c>
      <c r="I25" s="17">
        <v>4000000000</v>
      </c>
      <c r="J25" s="17">
        <v>4000000000</v>
      </c>
    </row>
    <row r="26" spans="2:10" ht="15.75" thickBot="1">
      <c r="B26" s="17">
        <v>1500000000</v>
      </c>
      <c r="C26" s="17">
        <v>1500000000</v>
      </c>
      <c r="D26" s="17">
        <v>1500000000</v>
      </c>
      <c r="E26" s="17">
        <v>1500000000</v>
      </c>
      <c r="F26" s="17">
        <v>1500000000</v>
      </c>
      <c r="G26" s="17">
        <v>1500000000</v>
      </c>
      <c r="H26" s="17">
        <v>5000000000</v>
      </c>
      <c r="I26" s="17">
        <v>5000000000</v>
      </c>
      <c r="J26" s="17">
        <v>5000000000</v>
      </c>
    </row>
    <row r="27" spans="2:10" ht="15.75" thickBot="1">
      <c r="B27" s="17">
        <v>2000000000</v>
      </c>
      <c r="C27" s="17">
        <v>2000000000</v>
      </c>
      <c r="D27" s="17">
        <v>2000000000</v>
      </c>
      <c r="E27" s="17">
        <v>2000000000</v>
      </c>
      <c r="F27" s="17">
        <v>2000000000</v>
      </c>
      <c r="G27" s="17">
        <v>2000000000</v>
      </c>
      <c r="H27" s="17">
        <v>6000000000</v>
      </c>
      <c r="I27" s="17">
        <v>6000000000</v>
      </c>
      <c r="J27" s="17">
        <v>6000000000</v>
      </c>
    </row>
    <row r="28" spans="2:10" ht="15.75" thickBot="1">
      <c r="B28" s="17">
        <v>3000000000</v>
      </c>
      <c r="C28" s="17">
        <v>3000000000</v>
      </c>
      <c r="D28" s="17">
        <v>3000000000</v>
      </c>
      <c r="E28" s="17">
        <v>3000000000</v>
      </c>
      <c r="F28" s="17">
        <v>3000000000</v>
      </c>
      <c r="G28" s="17">
        <v>3000000000</v>
      </c>
      <c r="H28" s="17">
        <v>7000000000</v>
      </c>
      <c r="I28" s="17">
        <v>7000000000</v>
      </c>
      <c r="J28" s="17">
        <v>7000000000</v>
      </c>
    </row>
    <row r="29" spans="2:10" ht="15.75" thickBot="1">
      <c r="B29" s="17">
        <v>4000000000</v>
      </c>
      <c r="C29" s="17">
        <v>4000000000</v>
      </c>
      <c r="D29" s="17">
        <v>4000000000</v>
      </c>
      <c r="E29" s="17">
        <v>4000000000</v>
      </c>
      <c r="F29" s="17">
        <v>4000000000</v>
      </c>
      <c r="G29" s="17">
        <v>4000000000</v>
      </c>
      <c r="H29" s="17">
        <v>8000000000</v>
      </c>
      <c r="I29" s="17">
        <v>8000000000</v>
      </c>
      <c r="J29" s="17">
        <v>8000000000</v>
      </c>
    </row>
    <row r="30" spans="2:10" ht="15.75" thickBot="1">
      <c r="B30" s="17">
        <v>5000000000</v>
      </c>
      <c r="C30" s="17">
        <v>5000000000</v>
      </c>
      <c r="D30" s="17">
        <v>5000000000</v>
      </c>
      <c r="E30" s="17">
        <v>5000000000</v>
      </c>
      <c r="F30" s="17">
        <v>5000000000</v>
      </c>
      <c r="G30" s="17">
        <v>5000000000</v>
      </c>
      <c r="H30" s="17">
        <v>9000000000</v>
      </c>
      <c r="I30" s="17">
        <v>9000000000</v>
      </c>
      <c r="J30" s="17">
        <v>9000000000</v>
      </c>
    </row>
    <row r="31" spans="2:10" ht="15.75" thickBot="1">
      <c r="B31" s="18">
        <v>6000000000</v>
      </c>
      <c r="C31" s="17">
        <v>6000000000</v>
      </c>
      <c r="D31" s="17">
        <v>6000000000</v>
      </c>
      <c r="E31" s="17">
        <v>6000000000</v>
      </c>
      <c r="F31" s="17">
        <v>6000000000</v>
      </c>
      <c r="G31" s="17">
        <v>6000000000</v>
      </c>
      <c r="H31" s="19">
        <v>10000000000</v>
      </c>
      <c r="I31" s="19">
        <v>10000000000</v>
      </c>
      <c r="J31" s="19">
        <v>10000000000</v>
      </c>
    </row>
    <row r="32" spans="2:10" ht="15.75" thickBot="1">
      <c r="C32" s="17">
        <v>7000000000</v>
      </c>
      <c r="D32" s="17">
        <v>7000000000</v>
      </c>
      <c r="E32" s="17">
        <v>7000000000</v>
      </c>
      <c r="F32" s="17">
        <v>7000000000</v>
      </c>
      <c r="G32" s="17">
        <v>7000000000</v>
      </c>
      <c r="H32" s="20">
        <v>15000000000</v>
      </c>
      <c r="I32" s="20">
        <v>15000000000</v>
      </c>
      <c r="J32" s="20">
        <v>15000000000</v>
      </c>
    </row>
    <row r="33" spans="3:7" ht="15.75" thickBot="1">
      <c r="C33" s="17">
        <v>8000000000</v>
      </c>
      <c r="D33" s="17">
        <v>8000000000</v>
      </c>
      <c r="E33" s="17">
        <v>8000000000</v>
      </c>
      <c r="F33" s="17">
        <v>8000000000</v>
      </c>
      <c r="G33" s="17">
        <v>8000000000</v>
      </c>
    </row>
    <row r="34" spans="3:7" ht="15.75" thickBot="1">
      <c r="C34" s="17">
        <v>9000000000</v>
      </c>
      <c r="D34" s="17">
        <v>9000000000</v>
      </c>
      <c r="E34" s="17">
        <v>9000000000</v>
      </c>
      <c r="F34" s="17">
        <v>9000000000</v>
      </c>
      <c r="G34" s="17">
        <v>9000000000</v>
      </c>
    </row>
    <row r="35" spans="3:7" ht="15.75" thickBot="1">
      <c r="C35" s="20">
        <v>10000000000</v>
      </c>
      <c r="D35" s="19">
        <v>10000000000</v>
      </c>
      <c r="E35" s="19">
        <v>10000000000</v>
      </c>
      <c r="F35" s="19">
        <v>10000000000</v>
      </c>
      <c r="G35" s="19">
        <v>10000000000</v>
      </c>
    </row>
    <row r="36" spans="3:7">
      <c r="D36" s="20">
        <v>15000000000</v>
      </c>
      <c r="E36" s="20">
        <v>15000000000</v>
      </c>
      <c r="F36" s="20">
        <v>15000000000</v>
      </c>
      <c r="G36" s="20">
        <v>15000000000</v>
      </c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pietario xmlns="f9d61d10-6f2d-4d85-a4cf-e475072196e4">
      <UserInfo>
        <DisplayName/>
        <AccountId xsi:nil="true"/>
        <AccountType/>
      </UserInfo>
    </Propietario>
    <Descripcion xmlns="f9d61d10-6f2d-4d85-a4cf-e475072196e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BFF2084CF026F4DA6904123309EA4BC" ma:contentTypeVersion="10" ma:contentTypeDescription="Crear nuevo documento." ma:contentTypeScope="" ma:versionID="2996c468cf97bc21b7aa5dea24ece4f4">
  <xsd:schema xmlns:xsd="http://www.w3.org/2001/XMLSchema" xmlns:xs="http://www.w3.org/2001/XMLSchema" xmlns:p="http://schemas.microsoft.com/office/2006/metadata/properties" xmlns:ns2="f9d61d10-6f2d-4d85-a4cf-e475072196e4" targetNamespace="http://schemas.microsoft.com/office/2006/metadata/properties" ma:root="true" ma:fieldsID="7e70288f5552a096f242cbfb40275e88" ns2:_="">
    <xsd:import namespace="f9d61d10-6f2d-4d85-a4cf-e475072196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Propietario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d61d10-6f2d-4d85-a4cf-e475072196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pietario" ma:index="11" nillable="true" ma:displayName="Propietario" ma:format="Dropdown" ma:list="UserInfo" ma:SharePointGroup="0" ma:internalName="Propietari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7" nillable="true" ma:displayName="Descripcion" ma:description="Update Jackeline" ma:format="Dropdown" ma:internalName="Descripcion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52B5E4-7AD8-4163-ABA4-514503C48510}">
  <ds:schemaRefs>
    <ds:schemaRef ds:uri="http://schemas.microsoft.com/office/2006/metadata/properties"/>
    <ds:schemaRef ds:uri="http://schemas.microsoft.com/office/infopath/2007/PartnerControls"/>
    <ds:schemaRef ds:uri="f9d61d10-6f2d-4d85-a4cf-e475072196e4"/>
  </ds:schemaRefs>
</ds:datastoreItem>
</file>

<file path=customXml/itemProps2.xml><?xml version="1.0" encoding="utf-8"?>
<ds:datastoreItem xmlns:ds="http://schemas.openxmlformats.org/officeDocument/2006/customXml" ds:itemID="{AD7C2728-6A96-4C6B-893B-1EC539C41D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BA55F5-B2B4-4147-AECB-6E984968F8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d61d10-6f2d-4d85-a4cf-e475072196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35</vt:i4>
      </vt:variant>
    </vt:vector>
  </HeadingPairs>
  <TitlesOfParts>
    <vt:vector size="52" baseType="lpstr">
      <vt:lpstr>ENTRADAS</vt:lpstr>
      <vt:lpstr>SALIDAS</vt:lpstr>
      <vt:lpstr>busqueda pi</vt:lpstr>
      <vt:lpstr>ABOGADOS</vt:lpstr>
      <vt:lpstr>ADMIN PH</vt:lpstr>
      <vt:lpstr>CONTADORES</vt:lpstr>
      <vt:lpstr>Nuevas Primas CYBER</vt:lpstr>
      <vt:lpstr>TasasINFIDELIDAD EMPLEADOS</vt:lpstr>
      <vt:lpstr>Configuracion INFIDELIDAD EMPLE</vt:lpstr>
      <vt:lpstr>CALCULOS CYBER</vt:lpstr>
      <vt:lpstr>PRIMAS</vt:lpstr>
      <vt:lpstr>Configuracion CYBER</vt:lpstr>
      <vt:lpstr>CALCULOSD&amp;O</vt:lpstr>
      <vt:lpstr>CALCULOS INFIDELIDAD DE EMPLEAD</vt:lpstr>
      <vt:lpstr>Configuraciond&amp;o</vt:lpstr>
      <vt:lpstr>PRIMASd&amp;o</vt:lpstr>
      <vt:lpstr>LISTAd&amp;o</vt:lpstr>
      <vt:lpstr>EVENTO_1</vt:lpstr>
      <vt:lpstr>EVENTO_2</vt:lpstr>
      <vt:lpstr>EVENTO_3</vt:lpstr>
      <vt:lpstr>EVENTO_4</vt:lpstr>
      <vt:lpstr>INGRESO1</vt:lpstr>
      <vt:lpstr>INGRESO2</vt:lpstr>
      <vt:lpstr>INGRESO3</vt:lpstr>
      <vt:lpstr>INGRESO4</vt:lpstr>
      <vt:lpstr>INGRESO5</vt:lpstr>
      <vt:lpstr>INGRESO6</vt:lpstr>
      <vt:lpstr>INGRESO7</vt:lpstr>
      <vt:lpstr>INGRESO8</vt:lpstr>
      <vt:lpstr>INGRESO9</vt:lpstr>
      <vt:lpstr>'Configuracion CYBER'!LIM_1</vt:lpstr>
      <vt:lpstr>LIM_1</vt:lpstr>
      <vt:lpstr>'Configuracion CYBER'!LIM_2</vt:lpstr>
      <vt:lpstr>LIM_2</vt:lpstr>
      <vt:lpstr>'Configuracion CYBER'!LIM_3</vt:lpstr>
      <vt:lpstr>LIM_3</vt:lpstr>
      <vt:lpstr>'Configuracion CYBER'!LIM_4</vt:lpstr>
      <vt:lpstr>LIM_4</vt:lpstr>
      <vt:lpstr>LIM_5</vt:lpstr>
      <vt:lpstr>LIM_6</vt:lpstr>
      <vt:lpstr>LIM_7</vt:lpstr>
      <vt:lpstr>limite</vt:lpstr>
      <vt:lpstr>OPC1000000000</vt:lpstr>
      <vt:lpstr>OPC1500000000</vt:lpstr>
      <vt:lpstr>OPC2000000000</vt:lpstr>
      <vt:lpstr>OPC3000000000</vt:lpstr>
      <vt:lpstr>OPC500000000</vt:lpstr>
      <vt:lpstr>opción1</vt:lpstr>
      <vt:lpstr>opción2</vt:lpstr>
      <vt:lpstr>opción3</vt:lpstr>
      <vt:lpstr>opción4</vt:lpstr>
      <vt:lpstr>opción5</vt:lpstr>
    </vt:vector>
  </TitlesOfParts>
  <Company>Zurich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Moriano</dc:creator>
  <cp:lastModifiedBy>Jean Chachalo</cp:lastModifiedBy>
  <dcterms:created xsi:type="dcterms:W3CDTF">2026-03-19T13:48:32Z</dcterms:created>
  <dcterms:modified xsi:type="dcterms:W3CDTF">2026-06-03T05:08:21Z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ed875-cb67-40d7-9ea6-a804b08b1148_Enabled">
    <vt:lpwstr>true</vt:lpwstr>
  </property>
  <property fmtid="{D5CDD505-2E9C-101B-9397-08002B2CF9AE}" pid="3" name="MSIP_Label_9a7ed875-cb67-40d7-9ea6-a804b08b1148_SetDate">
    <vt:lpwstr>2026-03-19T22:02:44Z</vt:lpwstr>
  </property>
  <property fmtid="{D5CDD505-2E9C-101B-9397-08002B2CF9AE}" pid="4" name="MSIP_Label_9a7ed875-cb67-40d7-9ea6-a804b08b1148_Method">
    <vt:lpwstr>Privileged</vt:lpwstr>
  </property>
  <property fmtid="{D5CDD505-2E9C-101B-9397-08002B2CF9AE}" pid="5" name="MSIP_Label_9a7ed875-cb67-40d7-9ea6-a804b08b1148_Name">
    <vt:lpwstr>9a7ed875-cb67-40d7-9ea6-a804b08b1148</vt:lpwstr>
  </property>
  <property fmtid="{D5CDD505-2E9C-101B-9397-08002B2CF9AE}" pid="6" name="MSIP_Label_9a7ed875-cb67-40d7-9ea6-a804b08b1148_SiteId">
    <vt:lpwstr>473672ba-cd07-4371-a2ae-788b4c61840e</vt:lpwstr>
  </property>
  <property fmtid="{D5CDD505-2E9C-101B-9397-08002B2CF9AE}" pid="7" name="MSIP_Label_9a7ed875-cb67-40d7-9ea6-a804b08b1148_ActionId">
    <vt:lpwstr>6f73a96e-e9f0-4b1e-862a-790cc415e497</vt:lpwstr>
  </property>
  <property fmtid="{D5CDD505-2E9C-101B-9397-08002B2CF9AE}" pid="8" name="MSIP_Label_9a7ed875-cb67-40d7-9ea6-a804b08b1148_ContentBits">
    <vt:lpwstr>0</vt:lpwstr>
  </property>
  <property fmtid="{D5CDD505-2E9C-101B-9397-08002B2CF9AE}" pid="9" name="MSIP_Label_9a7ed875-cb67-40d7-9ea6-a804b08b1148_Tag">
    <vt:lpwstr>10, 0, 1, 1</vt:lpwstr>
  </property>
  <property fmtid="{D5CDD505-2E9C-101B-9397-08002B2CF9AE}" pid="10" name="ContentTypeId">
    <vt:lpwstr>0x0101005BFF2084CF026F4DA6904123309EA4BC</vt:lpwstr>
  </property>
</Properties>
</file>